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ranav Sarda\OCM_ML\"/>
    </mc:Choice>
  </mc:AlternateContent>
  <xr:revisionPtr revIDLastSave="0" documentId="13_ncr:1_{FA6E330B-CAB5-4CEE-805F-BD822BBF75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3" i="2"/>
  <c r="C2" i="2"/>
</calcChain>
</file>

<file path=xl/sharedStrings.xml><?xml version="1.0" encoding="utf-8"?>
<sst xmlns="http://schemas.openxmlformats.org/spreadsheetml/2006/main" count="122" uniqueCount="64">
  <si>
    <t>Catalyst</t>
  </si>
  <si>
    <t xml:space="preserve"> Reactor used </t>
  </si>
  <si>
    <t>CH4 Conversion%</t>
  </si>
  <si>
    <t>C2 Selectivity%</t>
  </si>
  <si>
    <t>C3 Selectivity%</t>
  </si>
  <si>
    <t>15% Mn/SiO2</t>
  </si>
  <si>
    <t>Quartz tubes</t>
  </si>
  <si>
    <t xml:space="preserve"> </t>
  </si>
  <si>
    <t>SnO2-doped 5% Na2WO4-2% Mn2O3/SiO2</t>
  </si>
  <si>
    <t>Micro-stainless-steel reactor</t>
  </si>
  <si>
    <t>4% Na on Pr6011</t>
  </si>
  <si>
    <t xml:space="preserve"> M–Ti</t>
  </si>
  <si>
    <t xml:space="preserve">  Packed quartz tube reactor</t>
  </si>
  <si>
    <t xml:space="preserve">  1.9 wt % Mn and 5 wt % NaCl on Si02</t>
  </si>
  <si>
    <t>SrCoO3</t>
  </si>
  <si>
    <t>LiSrCoO3</t>
  </si>
  <si>
    <t xml:space="preserve"> LiSrCoO3</t>
  </si>
  <si>
    <t>NaSrCoO3</t>
  </si>
  <si>
    <t>KNaSrCoO3</t>
  </si>
  <si>
    <t>KSrCoO3</t>
  </si>
  <si>
    <t>15% Mn, 5%
Na4P 20 7/Si02</t>
  </si>
  <si>
    <t>Alua tube</t>
  </si>
  <si>
    <r>
      <rPr>
        <sz val="11"/>
        <color theme="1"/>
        <rFont val="Calibri, Arial"/>
      </rPr>
      <t>La2O3/</t>
    </r>
    <r>
      <rPr>
        <sz val="11"/>
        <color theme="1"/>
        <rFont val="Calibri"/>
      </rPr>
      <t>ɣ-Al2O3</t>
    </r>
  </si>
  <si>
    <t xml:space="preserve"> DC pulse enerator</t>
  </si>
  <si>
    <t>3 wt% Ce/5 wt% Na2WO4/TiO2</t>
  </si>
  <si>
    <t xml:space="preserve"> Fixed-bed micro-quartz-tube reactor</t>
  </si>
  <si>
    <t>Fixed-bed micro-quartz-tube reactor</t>
  </si>
  <si>
    <t xml:space="preserve">  2.0% Mn2O3-0.8% Na/SiO2</t>
  </si>
  <si>
    <t>Micro stainless steel reactor</t>
  </si>
  <si>
    <t xml:space="preserve"> 5.0% Na2WO4-2.0% Mn2O3/SiO2</t>
  </si>
  <si>
    <t>Amount of catalyst (g)</t>
  </si>
  <si>
    <t>Temp(C)</t>
  </si>
  <si>
    <t>GHSV Ratio(hr-1)</t>
  </si>
  <si>
    <t>Run time(min)</t>
  </si>
  <si>
    <t>Surface area(m2/g)</t>
  </si>
  <si>
    <t>Flow rate (ml/min)</t>
  </si>
  <si>
    <t>Amount of catalyst [g]</t>
  </si>
  <si>
    <r>
      <t>N</t>
    </r>
    <r>
      <rPr>
        <b/>
        <sz val="6"/>
        <color rgb="FF1F1F1F"/>
        <rFont val="Georgia"/>
        <family val="1"/>
      </rPr>
      <t>2</t>
    </r>
    <r>
      <rPr>
        <b/>
        <sz val="8"/>
        <color rgb="FF1F1F1F"/>
        <rFont val="Georgia"/>
        <family val="1"/>
      </rPr>
      <t>-dil. [%]</t>
    </r>
  </si>
  <si>
    <r>
      <t>O</t>
    </r>
    <r>
      <rPr>
        <b/>
        <sz val="6"/>
        <color rgb="FF1F1F1F"/>
        <rFont val="Georgia"/>
        <family val="1"/>
      </rPr>
      <t>2</t>
    </r>
    <r>
      <rPr>
        <b/>
        <sz val="8"/>
        <color rgb="FF1F1F1F"/>
        <rFont val="Georgia"/>
        <family val="1"/>
      </rPr>
      <t> [cm</t>
    </r>
    <r>
      <rPr>
        <b/>
        <sz val="6"/>
        <color rgb="FF1F1F1F"/>
        <rFont val="Georgia"/>
        <family val="1"/>
      </rPr>
      <t>3</t>
    </r>
    <r>
      <rPr>
        <b/>
        <sz val="8"/>
        <color rgb="FF1F1F1F"/>
        <rFont val="Georgia"/>
        <family val="1"/>
      </rPr>
      <t>.min</t>
    </r>
    <r>
      <rPr>
        <b/>
        <sz val="6"/>
        <color rgb="FF1F1F1F"/>
        <rFont val="Georgia"/>
        <family val="1"/>
      </rPr>
      <t>-1</t>
    </r>
    <r>
      <rPr>
        <b/>
        <sz val="8"/>
        <color rgb="FF1F1F1F"/>
        <rFont val="Georgia"/>
        <family val="1"/>
      </rPr>
      <t>]</t>
    </r>
  </si>
  <si>
    <r>
      <t>CH</t>
    </r>
    <r>
      <rPr>
        <b/>
        <sz val="6"/>
        <color rgb="FF1F1F1F"/>
        <rFont val="Georgia"/>
        <family val="1"/>
      </rPr>
      <t>4</t>
    </r>
    <r>
      <rPr>
        <b/>
        <sz val="8"/>
        <color rgb="FF1F1F1F"/>
        <rFont val="Georgia"/>
        <family val="1"/>
      </rPr>
      <t> [cm</t>
    </r>
    <r>
      <rPr>
        <b/>
        <sz val="6"/>
        <color rgb="FF1F1F1F"/>
        <rFont val="Georgia"/>
        <family val="1"/>
      </rPr>
      <t>3</t>
    </r>
    <r>
      <rPr>
        <b/>
        <sz val="8"/>
        <color rgb="FF1F1F1F"/>
        <rFont val="Georgia"/>
        <family val="1"/>
      </rPr>
      <t>.min</t>
    </r>
    <r>
      <rPr>
        <b/>
        <sz val="6"/>
        <color rgb="FF1F1F1F"/>
        <rFont val="Georgia"/>
        <family val="1"/>
      </rPr>
      <t>-1</t>
    </r>
    <r>
      <rPr>
        <b/>
        <sz val="8"/>
        <color rgb="FF1F1F1F"/>
        <rFont val="Georgia"/>
        <family val="1"/>
      </rPr>
      <t>]</t>
    </r>
  </si>
  <si>
    <r>
      <t>N</t>
    </r>
    <r>
      <rPr>
        <b/>
        <sz val="6"/>
        <color rgb="FF1F1F1F"/>
        <rFont val="Georgia"/>
        <family val="1"/>
      </rPr>
      <t>2</t>
    </r>
    <r>
      <rPr>
        <b/>
        <sz val="8"/>
        <color rgb="FF1F1F1F"/>
        <rFont val="Georgia"/>
        <family val="1"/>
      </rPr>
      <t> [cm</t>
    </r>
    <r>
      <rPr>
        <b/>
        <sz val="6"/>
        <color rgb="FF1F1F1F"/>
        <rFont val="Georgia"/>
        <family val="1"/>
      </rPr>
      <t>3</t>
    </r>
    <r>
      <rPr>
        <b/>
        <sz val="8"/>
        <color rgb="FF1F1F1F"/>
        <rFont val="Georgia"/>
        <family val="1"/>
      </rPr>
      <t>.min</t>
    </r>
    <r>
      <rPr>
        <b/>
        <sz val="6"/>
        <color rgb="FF1F1F1F"/>
        <rFont val="Georgia"/>
        <family val="1"/>
      </rPr>
      <t>-1</t>
    </r>
    <r>
      <rPr>
        <b/>
        <sz val="8"/>
        <color rgb="FF1F1F1F"/>
        <rFont val="Georgia"/>
        <family val="1"/>
      </rPr>
      <t>]</t>
    </r>
  </si>
  <si>
    <r>
      <t>X</t>
    </r>
    <r>
      <rPr>
        <b/>
        <sz val="6"/>
        <color rgb="FF1F1F1F"/>
        <rFont val="Georgia"/>
        <family val="1"/>
      </rPr>
      <t>O2</t>
    </r>
    <r>
      <rPr>
        <b/>
        <sz val="8"/>
        <color rgb="FF1F1F1F"/>
        <rFont val="Georgia"/>
        <family val="1"/>
      </rPr>
      <t> [%]</t>
    </r>
  </si>
  <si>
    <r>
      <t>X</t>
    </r>
    <r>
      <rPr>
        <b/>
        <sz val="6"/>
        <color rgb="FF1F1F1F"/>
        <rFont val="Georgia"/>
        <family val="1"/>
      </rPr>
      <t>CH4</t>
    </r>
    <r>
      <rPr>
        <b/>
        <sz val="8"/>
        <color rgb="FF1F1F1F"/>
        <rFont val="Georgia"/>
        <family val="1"/>
      </rPr>
      <t> [%]</t>
    </r>
  </si>
  <si>
    <r>
      <t>S</t>
    </r>
    <r>
      <rPr>
        <b/>
        <sz val="6"/>
        <color rgb="FF1F1F1F"/>
        <rFont val="Georgia"/>
        <family val="1"/>
      </rPr>
      <t>C2</t>
    </r>
    <r>
      <rPr>
        <b/>
        <sz val="8"/>
        <color rgb="FF1F1F1F"/>
        <rFont val="Georgia"/>
        <family val="1"/>
      </rPr>
      <t> [%]</t>
    </r>
  </si>
  <si>
    <r>
      <t>Y</t>
    </r>
    <r>
      <rPr>
        <b/>
        <sz val="6"/>
        <color rgb="FF1F1F1F"/>
        <rFont val="Georgia"/>
        <family val="1"/>
      </rPr>
      <t>C2</t>
    </r>
    <r>
      <rPr>
        <b/>
        <sz val="8"/>
        <color rgb="FF1F1F1F"/>
        <rFont val="Georgia"/>
        <family val="1"/>
      </rPr>
      <t> [%]</t>
    </r>
  </si>
  <si>
    <r>
      <t>S</t>
    </r>
    <r>
      <rPr>
        <b/>
        <sz val="6"/>
        <color rgb="FF1F1F1F"/>
        <rFont val="Georgia"/>
        <family val="1"/>
      </rPr>
      <t>CO</t>
    </r>
    <r>
      <rPr>
        <b/>
        <sz val="8"/>
        <color rgb="FF1F1F1F"/>
        <rFont val="Georgia"/>
        <family val="1"/>
      </rPr>
      <t> [%]</t>
    </r>
  </si>
  <si>
    <r>
      <t>S</t>
    </r>
    <r>
      <rPr>
        <b/>
        <sz val="6"/>
        <color rgb="FF1F1F1F"/>
        <rFont val="Georgia"/>
        <family val="1"/>
      </rPr>
      <t>CO2</t>
    </r>
    <r>
      <rPr>
        <b/>
        <sz val="8"/>
        <color rgb="FF1F1F1F"/>
        <rFont val="Georgia"/>
        <family val="1"/>
      </rPr>
      <t> [%]</t>
    </r>
  </si>
  <si>
    <r>
      <t>C</t>
    </r>
    <r>
      <rPr>
        <b/>
        <sz val="6"/>
        <color rgb="FF1F1F1F"/>
        <rFont val="Georgia"/>
        <family val="1"/>
      </rPr>
      <t>2</t>
    </r>
    <r>
      <rPr>
        <b/>
        <sz val="8"/>
        <color rgb="FF1F1F1F"/>
        <rFont val="Georgia"/>
        <family val="1"/>
      </rPr>
      <t>H</t>
    </r>
    <r>
      <rPr>
        <b/>
        <sz val="6"/>
        <color rgb="FF1F1F1F"/>
        <rFont val="Georgia"/>
        <family val="1"/>
      </rPr>
      <t>6</t>
    </r>
    <r>
      <rPr>
        <b/>
        <sz val="8"/>
        <color rgb="FF1F1F1F"/>
        <rFont val="Georgia"/>
        <family val="1"/>
      </rPr>
      <t> /C</t>
    </r>
    <r>
      <rPr>
        <b/>
        <sz val="6"/>
        <color rgb="FF1F1F1F"/>
        <rFont val="Georgia"/>
        <family val="1"/>
      </rPr>
      <t>2</t>
    </r>
    <r>
      <rPr>
        <b/>
        <sz val="8"/>
        <color rgb="FF1F1F1F"/>
        <rFont val="Georgia"/>
        <family val="1"/>
      </rPr>
      <t>H</t>
    </r>
    <r>
      <rPr>
        <b/>
        <sz val="6"/>
        <color rgb="FF1F1F1F"/>
        <rFont val="Georgia"/>
        <family val="1"/>
      </rPr>
      <t>4</t>
    </r>
  </si>
  <si>
    <t>GHSV[cm3.min-1g_cat-1]</t>
  </si>
  <si>
    <t>T [°C]</t>
  </si>
  <si>
    <r>
      <t>Flow-rate [cm</t>
    </r>
    <r>
      <rPr>
        <b/>
        <sz val="6"/>
        <color rgb="FF000000"/>
        <rFont val="Georgia"/>
        <family val="1"/>
      </rPr>
      <t>3</t>
    </r>
    <r>
      <rPr>
        <b/>
        <sz val="8"/>
        <color rgb="FF000000"/>
        <rFont val="Georgia"/>
        <family val="1"/>
      </rPr>
      <t>.min</t>
    </r>
    <r>
      <rPr>
        <b/>
        <sz val="6"/>
        <color rgb="FF000000"/>
        <rFont val="Georgia"/>
        <family val="1"/>
      </rPr>
      <t>-1</t>
    </r>
    <r>
      <rPr>
        <b/>
        <sz val="8"/>
        <color rgb="FF000000"/>
        <rFont val="Georgia"/>
        <family val="1"/>
      </rPr>
      <t>]</t>
    </r>
  </si>
  <si>
    <r>
      <t>CH</t>
    </r>
    <r>
      <rPr>
        <b/>
        <sz val="6"/>
        <color rgb="FF000000"/>
        <rFont val="Georgia"/>
        <family val="1"/>
      </rPr>
      <t>4</t>
    </r>
    <r>
      <rPr>
        <b/>
        <sz val="8"/>
        <color rgb="FF000000"/>
        <rFont val="Georgia"/>
        <family val="1"/>
      </rPr>
      <t>/O</t>
    </r>
    <r>
      <rPr>
        <b/>
        <sz val="6"/>
        <color rgb="FF000000"/>
        <rFont val="Georgia"/>
        <family val="1"/>
      </rPr>
      <t>2</t>
    </r>
  </si>
  <si>
    <r>
      <t>O</t>
    </r>
    <r>
      <rPr>
        <b/>
        <sz val="6"/>
        <color rgb="FF000000"/>
        <rFont val="Georgia"/>
        <family val="1"/>
      </rPr>
      <t>2</t>
    </r>
    <r>
      <rPr>
        <b/>
        <sz val="8"/>
        <color rgb="FF000000"/>
        <rFont val="Georgia"/>
        <family val="1"/>
      </rPr>
      <t> [cm</t>
    </r>
    <r>
      <rPr>
        <b/>
        <sz val="6"/>
        <color rgb="FF000000"/>
        <rFont val="Georgia"/>
        <family val="1"/>
      </rPr>
      <t>3</t>
    </r>
    <r>
      <rPr>
        <b/>
        <sz val="8"/>
        <color rgb="FF000000"/>
        <rFont val="Georgia"/>
        <family val="1"/>
      </rPr>
      <t>.min</t>
    </r>
    <r>
      <rPr>
        <b/>
        <sz val="6"/>
        <color rgb="FF000000"/>
        <rFont val="Georgia"/>
        <family val="1"/>
      </rPr>
      <t>-1</t>
    </r>
    <r>
      <rPr>
        <b/>
        <sz val="8"/>
        <color rgb="FF000000"/>
        <rFont val="Georgia"/>
        <family val="1"/>
      </rPr>
      <t>]</t>
    </r>
  </si>
  <si>
    <r>
      <t>CH</t>
    </r>
    <r>
      <rPr>
        <b/>
        <sz val="6"/>
        <color rgb="FF000000"/>
        <rFont val="Georgia"/>
        <family val="1"/>
      </rPr>
      <t>4</t>
    </r>
    <r>
      <rPr>
        <b/>
        <sz val="8"/>
        <color rgb="FF000000"/>
        <rFont val="Georgia"/>
        <family val="1"/>
      </rPr>
      <t> [cm</t>
    </r>
    <r>
      <rPr>
        <b/>
        <sz val="6"/>
        <color rgb="FF000000"/>
        <rFont val="Georgia"/>
        <family val="1"/>
      </rPr>
      <t>3</t>
    </r>
    <r>
      <rPr>
        <b/>
        <sz val="8"/>
        <color rgb="FF000000"/>
        <rFont val="Georgia"/>
        <family val="1"/>
      </rPr>
      <t>.min</t>
    </r>
    <r>
      <rPr>
        <b/>
        <sz val="6"/>
        <color rgb="FF000000"/>
        <rFont val="Georgia"/>
        <family val="1"/>
      </rPr>
      <t>-1</t>
    </r>
    <r>
      <rPr>
        <b/>
        <sz val="8"/>
        <color rgb="FF000000"/>
        <rFont val="Georgia"/>
        <family val="1"/>
      </rPr>
      <t>]</t>
    </r>
  </si>
  <si>
    <r>
      <t>N</t>
    </r>
    <r>
      <rPr>
        <b/>
        <sz val="6"/>
        <color rgb="FF000000"/>
        <rFont val="Georgia"/>
        <family val="1"/>
      </rPr>
      <t>2</t>
    </r>
    <r>
      <rPr>
        <b/>
        <sz val="8"/>
        <color rgb="FF000000"/>
        <rFont val="Georgia"/>
        <family val="1"/>
      </rPr>
      <t> [cm</t>
    </r>
    <r>
      <rPr>
        <b/>
        <sz val="6"/>
        <color rgb="FF000000"/>
        <rFont val="Georgia"/>
        <family val="1"/>
      </rPr>
      <t>3</t>
    </r>
    <r>
      <rPr>
        <b/>
        <sz val="8"/>
        <color rgb="FF000000"/>
        <rFont val="Georgia"/>
        <family val="1"/>
      </rPr>
      <t>.min</t>
    </r>
    <r>
      <rPr>
        <b/>
        <sz val="6"/>
        <color rgb="FF000000"/>
        <rFont val="Georgia"/>
        <family val="1"/>
      </rPr>
      <t>-1</t>
    </r>
    <r>
      <rPr>
        <b/>
        <sz val="8"/>
        <color rgb="FF000000"/>
        <rFont val="Georgia"/>
        <family val="1"/>
      </rPr>
      <t>]</t>
    </r>
  </si>
  <si>
    <r>
      <t>X</t>
    </r>
    <r>
      <rPr>
        <b/>
        <sz val="6"/>
        <color rgb="FF000000"/>
        <rFont val="Georgia"/>
        <family val="1"/>
      </rPr>
      <t>CH4</t>
    </r>
  </si>
  <si>
    <r>
      <t>S</t>
    </r>
    <r>
      <rPr>
        <b/>
        <sz val="6"/>
        <color rgb="FF000000"/>
        <rFont val="Georgia"/>
        <family val="1"/>
      </rPr>
      <t>C2</t>
    </r>
  </si>
  <si>
    <r>
      <t>Y</t>
    </r>
    <r>
      <rPr>
        <b/>
        <sz val="6"/>
        <color rgb="FF000000"/>
        <rFont val="Georgia"/>
        <family val="1"/>
      </rPr>
      <t>C2</t>
    </r>
  </si>
  <si>
    <r>
      <t>S</t>
    </r>
    <r>
      <rPr>
        <b/>
        <sz val="6"/>
        <color rgb="FF000000"/>
        <rFont val="Georgia"/>
        <family val="1"/>
      </rPr>
      <t>CO</t>
    </r>
  </si>
  <si>
    <r>
      <t>S</t>
    </r>
    <r>
      <rPr>
        <b/>
        <sz val="6"/>
        <color rgb="FF000000"/>
        <rFont val="Georgia"/>
        <family val="1"/>
      </rPr>
      <t>CO2</t>
    </r>
  </si>
  <si>
    <r>
      <t>C</t>
    </r>
    <r>
      <rPr>
        <b/>
        <sz val="6"/>
        <color rgb="FF000000"/>
        <rFont val="Georgia"/>
        <family val="1"/>
      </rPr>
      <t>2</t>
    </r>
    <r>
      <rPr>
        <b/>
        <sz val="8"/>
        <color rgb="FF000000"/>
        <rFont val="Georgia"/>
        <family val="1"/>
      </rPr>
      <t>H</t>
    </r>
    <r>
      <rPr>
        <b/>
        <sz val="6"/>
        <color rgb="FF000000"/>
        <rFont val="Georgia"/>
        <family val="1"/>
      </rPr>
      <t>4</t>
    </r>
    <r>
      <rPr>
        <b/>
        <sz val="8"/>
        <color rgb="FF000000"/>
        <rFont val="Georgia"/>
        <family val="1"/>
      </rPr>
      <t>/C</t>
    </r>
    <r>
      <rPr>
        <b/>
        <sz val="6"/>
        <color rgb="FF000000"/>
        <rFont val="Georgia"/>
        <family val="1"/>
      </rPr>
      <t>2</t>
    </r>
    <r>
      <rPr>
        <b/>
        <sz val="8"/>
        <color rgb="FF000000"/>
        <rFont val="Georgia"/>
        <family val="1"/>
      </rPr>
      <t>H</t>
    </r>
    <r>
      <rPr>
        <b/>
        <sz val="6"/>
        <color rgb="FF000000"/>
        <rFont val="Georgia"/>
        <family val="1"/>
      </rPr>
      <t>6</t>
    </r>
  </si>
  <si>
    <r>
      <t>C</t>
    </r>
    <r>
      <rPr>
        <b/>
        <sz val="6"/>
        <color rgb="FF000000"/>
        <rFont val="Georgia"/>
        <family val="1"/>
      </rPr>
      <t>2</t>
    </r>
    <r>
      <rPr>
        <b/>
        <sz val="8"/>
        <color rgb="FF000000"/>
        <rFont val="Georgia"/>
        <family val="1"/>
      </rPr>
      <t>H</t>
    </r>
    <r>
      <rPr>
        <b/>
        <sz val="6"/>
        <color rgb="FF000000"/>
        <rFont val="Georgia"/>
        <family val="1"/>
      </rPr>
      <t>6</t>
    </r>
    <r>
      <rPr>
        <b/>
        <sz val="8"/>
        <color rgb="FF000000"/>
        <rFont val="Georgia"/>
        <family val="1"/>
      </rPr>
      <t>/C</t>
    </r>
    <r>
      <rPr>
        <b/>
        <sz val="6"/>
        <color rgb="FF000000"/>
        <rFont val="Georgia"/>
        <family val="1"/>
      </rPr>
      <t>2</t>
    </r>
    <r>
      <rPr>
        <b/>
        <sz val="8"/>
        <color rgb="FF000000"/>
        <rFont val="Georgia"/>
        <family val="1"/>
      </rPr>
      <t>H</t>
    </r>
    <r>
      <rPr>
        <b/>
        <sz val="6"/>
        <color rgb="FF000000"/>
        <rFont val="Georgia"/>
        <family val="1"/>
      </rPr>
      <t>4</t>
    </r>
  </si>
  <si>
    <t>No. Experimental Conditions Reaction output Weight CH4+O2 Total_flow CH4O2 Temp O2_conv CH4_conv H2 selec CO selec C2H6 selec CO2 selec C2H4 selec C2 y 1 37.5 16 50 1 1123 100 4.9 0 31.7 41.2 48.5 66.4 5.2 2 40.1 40 30 5 1098 66.2 26.3 10.7 32.4 12.4 21.2 51.1 16.7 3 40.1 40 30 4 1098 74.4 30.1 9.9 34 10.5 23 48.1 17.6 4 40.1 40 30 5 1123 100 32.8 5.4 22 12 25.1 48.1 19.7 5 40.1 40 30 4 1123 100 35.9 4.8 24.6 10.8 26.3 44.6 19.9 6 40.1 40.1 30 3 1098 81.8 35.3 9.2 36.2 8.6 26.2 44.3 18.7 7 40.1 40 30 5 1148 100 30.1 6.9 29.3 8.5 24.1 43.4 15.6 8 40.1 40.1 30 3 1098 82.6 36.2 8.6 34.6 8.4 26.1 43 18.6 9 37.5 8 50 1 1173 100 11.9 0 27.8 43.6 35.3 42.1 10.2 10 25.7 46.2 26 2 1073 20.1 6.9 0 33.5 34.6 23.8 41.7 5.3 11 40.1 40 30 4 1148 100 32.5 6.3 34.7 7.7 24.7 40.1 15.5 12 40.1 40.1 30 3 1123 100 40.5 4 28.4 9.4 29.1 39.4 19.7 13 40.1 40.1 30 3 1148 100 34.8 6.3 42.8 6.8 26.4 36.3 15 14 40.1 40.1 30 2 1098 90.9 46.4 6.1 35.4 6.3 32.2 36.1 19.7 15 40.1 40.1 30 3 1148 100 35.9 5.7 41.3 6.4 25.9 33.3 14.3 16 101.2 93.8 64 3 1073 100 41.7 1.1 19.4 12.9 16.6 31.7 18.5 17 101.2 93.8 96 3 1073 100 39.1 1.4 23.5 12 15.2 31.4 17 18 101.2 93.7 48 3 1073 100 42.2 1.3 18.8 12.6 18.3</t>
  </si>
  <si>
    <r>
      <t>Flow-rate [ml.min</t>
    </r>
    <r>
      <rPr>
        <b/>
        <sz val="6"/>
        <color rgb="FF1F1F1F"/>
        <rFont val="Georgia"/>
        <family val="1"/>
      </rPr>
      <t>-1</t>
    </r>
    <r>
      <rPr>
        <b/>
        <sz val="8"/>
        <color rgb="FF1F1F1F"/>
        <rFont val="Georgia"/>
        <family val="1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</si>
</sst>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, Arial"/>
    </font>
    <font>
      <b/>
      <sz val="8"/>
      <color rgb="FF1F1F1F"/>
      <name val="Georgia"/>
      <family val="1"/>
    </font>
    <font>
      <b/>
      <sz val="6"/>
      <color rgb="FF1F1F1F"/>
      <name val="Georgia"/>
      <family val="1"/>
    </font>
    <font>
      <sz val="8"/>
      <color rgb="FF1F1F1F"/>
      <name val="Georgia"/>
      <family val="1"/>
    </font>
    <font>
      <sz val="10"/>
      <color rgb="FF000000"/>
      <name val="Arial"/>
      <family val="2"/>
      <scheme val="minor"/>
    </font>
    <font>
      <b/>
      <sz val="8"/>
      <color rgb="FF000000"/>
      <name val="Georgia"/>
      <family val="1"/>
    </font>
    <font>
      <b/>
      <sz val="6"/>
      <color rgb="FF000000"/>
      <name val="Georgia"/>
      <family val="1"/>
    </font>
    <font>
      <sz val="8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 style="medium">
        <color rgb="FF8E8E8E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/>
    </xf>
    <xf numFmtId="3" fontId="1" fillId="2" borderId="0" xfId="0" applyNumberFormat="1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9" fontId="7" fillId="0" borderId="0" xfId="0" applyNumberFormat="1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9" fontId="7" fillId="0" borderId="1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3" xfId="0" applyBorder="1"/>
    <xf numFmtId="0" fontId="11" fillId="0" borderId="1" xfId="0" applyFont="1" applyBorder="1" applyAlignment="1">
      <alignment horizontal="left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4"/>
  <sheetViews>
    <sheetView zoomScale="74" zoomScaleNormal="371" workbookViewId="0">
      <selection activeCell="E1" sqref="E1"/>
    </sheetView>
  </sheetViews>
  <sheetFormatPr defaultColWidth="12.6640625" defaultRowHeight="15.75" customHeight="1"/>
  <cols>
    <col min="1" max="1" width="37.6640625" bestFit="1" customWidth="1"/>
    <col min="2" max="2" width="33" bestFit="1" customWidth="1"/>
    <col min="3" max="3" width="19.88671875" customWidth="1"/>
    <col min="4" max="4" width="16.77734375" bestFit="1" customWidth="1"/>
    <col min="5" max="5" width="13" bestFit="1" customWidth="1"/>
    <col min="7" max="7" width="8.109375" bestFit="1" customWidth="1"/>
    <col min="8" max="8" width="15.5546875" bestFit="1" customWidth="1"/>
    <col min="9" max="9" width="17.5546875" bestFit="1" customWidth="1"/>
    <col min="10" max="10" width="15.77734375" bestFit="1" customWidth="1"/>
    <col min="11" max="12" width="13.77734375" bestFit="1" customWidth="1"/>
  </cols>
  <sheetData>
    <row r="1" spans="1:13" ht="15.75" customHeight="1">
      <c r="A1" s="1" t="s">
        <v>0</v>
      </c>
      <c r="B1" s="1" t="s">
        <v>1</v>
      </c>
      <c r="C1" s="1" t="s">
        <v>30</v>
      </c>
      <c r="D1" s="1" t="s">
        <v>35</v>
      </c>
      <c r="E1" s="1" t="s">
        <v>33</v>
      </c>
      <c r="F1" s="1"/>
      <c r="G1" s="1" t="s">
        <v>31</v>
      </c>
      <c r="H1" s="1" t="s">
        <v>32</v>
      </c>
      <c r="I1" s="1" t="s">
        <v>34</v>
      </c>
      <c r="J1" s="1" t="s">
        <v>2</v>
      </c>
      <c r="K1" s="1" t="s">
        <v>3</v>
      </c>
      <c r="L1" s="1" t="s">
        <v>4</v>
      </c>
      <c r="M1" s="1"/>
    </row>
    <row r="2" spans="1:13" ht="15.75" customHeight="1">
      <c r="A2" s="2" t="s">
        <v>5</v>
      </c>
      <c r="B2" s="2" t="s">
        <v>6</v>
      </c>
      <c r="C2" s="2">
        <v>10</v>
      </c>
      <c r="D2" s="2" t="s">
        <v>7</v>
      </c>
      <c r="E2" s="2">
        <v>1</v>
      </c>
      <c r="F2" s="2"/>
      <c r="G2" s="2">
        <v>800</v>
      </c>
      <c r="H2" s="2">
        <v>600</v>
      </c>
      <c r="I2" s="2">
        <v>250</v>
      </c>
      <c r="J2" s="2">
        <v>30.1</v>
      </c>
      <c r="K2" s="2">
        <v>36.5</v>
      </c>
      <c r="L2" s="2">
        <v>2.2000000000000002</v>
      </c>
      <c r="M2" s="2"/>
    </row>
    <row r="3" spans="1:13" ht="15.75" customHeight="1">
      <c r="A3" s="2" t="s">
        <v>5</v>
      </c>
      <c r="B3" s="2" t="s">
        <v>6</v>
      </c>
      <c r="C3" s="2">
        <v>10</v>
      </c>
      <c r="D3" s="2"/>
      <c r="E3" s="2">
        <v>2</v>
      </c>
      <c r="F3" s="2"/>
      <c r="G3" s="2">
        <v>800</v>
      </c>
      <c r="H3" s="2">
        <v>600</v>
      </c>
      <c r="I3" s="2">
        <v>250</v>
      </c>
      <c r="J3" s="2">
        <v>12.3</v>
      </c>
      <c r="K3" s="2">
        <v>42.9</v>
      </c>
      <c r="L3" s="2">
        <v>0</v>
      </c>
      <c r="M3" s="2"/>
    </row>
    <row r="4" spans="1:13" ht="15.75" customHeight="1">
      <c r="A4" s="2" t="s">
        <v>5</v>
      </c>
      <c r="B4" s="2" t="s">
        <v>6</v>
      </c>
      <c r="C4" s="2">
        <v>10</v>
      </c>
      <c r="D4" s="2"/>
      <c r="E4" s="2">
        <v>12</v>
      </c>
      <c r="F4" s="2"/>
      <c r="G4" s="2">
        <v>800</v>
      </c>
      <c r="H4" s="2">
        <v>600</v>
      </c>
      <c r="I4" s="2">
        <v>250</v>
      </c>
      <c r="J4" s="2">
        <v>0.40200000000000002</v>
      </c>
      <c r="K4" s="2">
        <v>55.8</v>
      </c>
      <c r="L4" s="2">
        <v>0</v>
      </c>
      <c r="M4" s="2"/>
    </row>
    <row r="5" spans="1:13" ht="15.75" customHeight="1">
      <c r="A5" s="2" t="s">
        <v>5</v>
      </c>
      <c r="B5" s="2" t="s">
        <v>6</v>
      </c>
      <c r="C5" s="2">
        <v>10</v>
      </c>
      <c r="D5" s="2"/>
      <c r="E5" s="2">
        <v>30</v>
      </c>
      <c r="F5" s="2"/>
      <c r="G5" s="2">
        <v>800</v>
      </c>
      <c r="H5" s="2">
        <v>600</v>
      </c>
      <c r="I5" s="2">
        <v>250</v>
      </c>
      <c r="J5" s="2">
        <v>3.0800000000000001E-2</v>
      </c>
      <c r="K5" s="2">
        <v>61.7</v>
      </c>
      <c r="L5" s="2">
        <v>0</v>
      </c>
      <c r="M5" s="2"/>
    </row>
    <row r="6" spans="1:13" ht="15.75" customHeight="1">
      <c r="A6" s="2" t="s">
        <v>8</v>
      </c>
      <c r="B6" s="2" t="s">
        <v>9</v>
      </c>
      <c r="C6" s="2">
        <v>0.4</v>
      </c>
      <c r="D6" s="2"/>
      <c r="E6" s="2">
        <v>30</v>
      </c>
      <c r="F6" s="2"/>
      <c r="G6" s="2">
        <v>719</v>
      </c>
      <c r="H6" s="2">
        <v>105</v>
      </c>
      <c r="I6" s="2"/>
      <c r="J6" s="3">
        <v>16.399999999999999</v>
      </c>
      <c r="K6" s="2">
        <v>65</v>
      </c>
      <c r="L6" s="3">
        <v>5.6</v>
      </c>
      <c r="M6" s="3"/>
    </row>
    <row r="7" spans="1:13" ht="15.75" customHeight="1">
      <c r="A7" s="2" t="s">
        <v>8</v>
      </c>
      <c r="B7" s="2" t="s">
        <v>9</v>
      </c>
      <c r="C7" s="2">
        <v>0.4</v>
      </c>
      <c r="D7" s="2"/>
      <c r="E7" s="2">
        <v>30</v>
      </c>
      <c r="F7" s="2"/>
      <c r="G7" s="2">
        <v>719</v>
      </c>
      <c r="H7" s="2">
        <v>105</v>
      </c>
      <c r="I7" s="2"/>
      <c r="J7" s="3">
        <v>17.399999999999999</v>
      </c>
      <c r="K7" s="2">
        <v>35.1</v>
      </c>
      <c r="L7" s="3">
        <v>32.299999999999997</v>
      </c>
      <c r="M7" s="3"/>
    </row>
    <row r="8" spans="1:13" ht="15.75" customHeight="1">
      <c r="A8" s="2" t="s">
        <v>8</v>
      </c>
      <c r="B8" s="2" t="s">
        <v>9</v>
      </c>
      <c r="C8" s="2">
        <v>0.4</v>
      </c>
      <c r="D8" s="2"/>
      <c r="E8" s="2">
        <v>30</v>
      </c>
      <c r="F8" s="2"/>
      <c r="G8" s="2">
        <v>719</v>
      </c>
      <c r="H8" s="2">
        <v>105</v>
      </c>
      <c r="I8" s="2"/>
      <c r="J8" s="3">
        <v>21.1</v>
      </c>
      <c r="K8" s="2">
        <v>45.2</v>
      </c>
      <c r="L8" s="3">
        <v>27.9</v>
      </c>
      <c r="M8" s="3"/>
    </row>
    <row r="9" spans="1:13" ht="15.75" customHeight="1">
      <c r="A9" s="2" t="s">
        <v>8</v>
      </c>
      <c r="B9" s="2" t="s">
        <v>9</v>
      </c>
      <c r="C9" s="2">
        <v>0.4</v>
      </c>
      <c r="D9" s="2"/>
      <c r="E9" s="2">
        <v>30</v>
      </c>
      <c r="F9" s="2"/>
      <c r="G9" s="2">
        <v>719</v>
      </c>
      <c r="H9" s="2">
        <v>105</v>
      </c>
      <c r="I9" s="2"/>
      <c r="J9" s="3">
        <v>21.1</v>
      </c>
      <c r="K9" s="2">
        <v>40.4</v>
      </c>
      <c r="L9" s="3">
        <v>27.4</v>
      </c>
      <c r="M9" s="3"/>
    </row>
    <row r="10" spans="1:13" ht="15.75" customHeight="1">
      <c r="A10" s="2" t="s">
        <v>8</v>
      </c>
      <c r="B10" s="2" t="s">
        <v>9</v>
      </c>
      <c r="C10" s="2">
        <v>0.4</v>
      </c>
      <c r="D10" s="2"/>
      <c r="E10" s="2">
        <v>30</v>
      </c>
      <c r="F10" s="2"/>
      <c r="G10" s="2">
        <v>719</v>
      </c>
      <c r="H10" s="2">
        <v>105</v>
      </c>
      <c r="I10" s="2"/>
      <c r="J10" s="3">
        <v>22.8</v>
      </c>
      <c r="K10" s="2">
        <v>39.5</v>
      </c>
      <c r="L10" s="3">
        <v>29.5</v>
      </c>
      <c r="M10" s="3"/>
    </row>
    <row r="11" spans="1:13" ht="15.75" customHeight="1">
      <c r="A11" s="2" t="s">
        <v>8</v>
      </c>
      <c r="B11" s="2" t="s">
        <v>9</v>
      </c>
      <c r="C11" s="2">
        <v>0.4</v>
      </c>
      <c r="D11" s="2"/>
      <c r="E11" s="2">
        <v>30</v>
      </c>
      <c r="F11" s="2"/>
      <c r="G11" s="2">
        <v>719</v>
      </c>
      <c r="H11" s="2">
        <v>105</v>
      </c>
      <c r="I11" s="2"/>
      <c r="J11" s="3">
        <v>21.1</v>
      </c>
      <c r="K11" s="2">
        <v>44</v>
      </c>
      <c r="L11" s="3">
        <v>28</v>
      </c>
      <c r="M11" s="3"/>
    </row>
    <row r="12" spans="1:13" ht="15.75" customHeight="1">
      <c r="A12" s="2" t="s">
        <v>8</v>
      </c>
      <c r="B12" s="2" t="s">
        <v>9</v>
      </c>
      <c r="C12" s="2">
        <v>0.4</v>
      </c>
      <c r="D12" s="2"/>
      <c r="E12" s="2">
        <v>30</v>
      </c>
      <c r="F12" s="2"/>
      <c r="G12" s="2">
        <v>719</v>
      </c>
      <c r="H12" s="2">
        <v>105</v>
      </c>
      <c r="I12" s="2"/>
      <c r="J12" s="3">
        <v>19.3</v>
      </c>
      <c r="K12" s="2">
        <v>44.4</v>
      </c>
      <c r="L12" s="3">
        <v>20.5</v>
      </c>
      <c r="M12" s="3"/>
    </row>
    <row r="13" spans="1:13" ht="15.75" customHeight="1">
      <c r="A13" s="2" t="s">
        <v>10</v>
      </c>
      <c r="B13" s="2" t="s">
        <v>6</v>
      </c>
      <c r="C13" s="2"/>
      <c r="D13" s="2"/>
      <c r="E13" s="2">
        <v>30</v>
      </c>
      <c r="F13" s="2"/>
      <c r="G13" s="2">
        <v>800</v>
      </c>
      <c r="H13" s="2">
        <v>2400</v>
      </c>
      <c r="I13" s="2">
        <v>4</v>
      </c>
      <c r="J13" s="4">
        <v>27.5</v>
      </c>
      <c r="K13" s="4">
        <v>70.3</v>
      </c>
      <c r="L13" s="4">
        <v>7</v>
      </c>
      <c r="M13" s="4"/>
    </row>
    <row r="14" spans="1:13" ht="15.75" customHeight="1">
      <c r="A14" s="2" t="s">
        <v>11</v>
      </c>
      <c r="B14" s="3" t="s">
        <v>12</v>
      </c>
      <c r="C14" s="2">
        <v>7.0000000000000007E-2</v>
      </c>
      <c r="D14" s="2">
        <v>30</v>
      </c>
      <c r="E14" s="2">
        <v>30</v>
      </c>
      <c r="F14" s="2"/>
      <c r="G14" s="2">
        <v>725</v>
      </c>
      <c r="H14" s="5">
        <v>20000</v>
      </c>
      <c r="I14" s="3">
        <v>4.9000000000000004</v>
      </c>
      <c r="J14" s="2">
        <v>7.2</v>
      </c>
      <c r="K14" s="2">
        <v>2.6</v>
      </c>
    </row>
    <row r="15" spans="1:13" ht="15.75" customHeight="1">
      <c r="A15" s="2" t="s">
        <v>11</v>
      </c>
      <c r="B15" s="2" t="s">
        <v>12</v>
      </c>
      <c r="C15" s="2">
        <v>7.0000000000000007E-2</v>
      </c>
      <c r="D15" s="2">
        <v>30</v>
      </c>
      <c r="E15" s="2">
        <v>30</v>
      </c>
      <c r="F15" s="2"/>
      <c r="G15" s="2">
        <v>750</v>
      </c>
      <c r="H15" s="5">
        <v>20000</v>
      </c>
      <c r="I15" s="3">
        <v>4.9000000000000004</v>
      </c>
      <c r="J15" s="2">
        <v>12.7</v>
      </c>
      <c r="K15" s="2">
        <v>3.7</v>
      </c>
    </row>
    <row r="16" spans="1:13" ht="15.75" customHeight="1">
      <c r="A16" s="2" t="s">
        <v>11</v>
      </c>
      <c r="B16" s="2" t="s">
        <v>12</v>
      </c>
      <c r="C16" s="2">
        <v>7.0000000000000007E-2</v>
      </c>
      <c r="D16" s="2">
        <v>30</v>
      </c>
      <c r="E16" s="2">
        <v>30</v>
      </c>
      <c r="F16" s="2"/>
      <c r="G16" s="2">
        <v>775</v>
      </c>
      <c r="H16" s="5">
        <v>20000</v>
      </c>
      <c r="I16" s="3">
        <v>4.9000000000000004</v>
      </c>
      <c r="J16" s="2">
        <v>18.100000000000001</v>
      </c>
      <c r="K16" s="2">
        <v>5.7</v>
      </c>
    </row>
    <row r="17" spans="1:13" ht="15.75" customHeight="1">
      <c r="A17" s="2" t="s">
        <v>11</v>
      </c>
      <c r="B17" s="2" t="s">
        <v>12</v>
      </c>
      <c r="C17" s="2">
        <v>7.0000000000000007E-2</v>
      </c>
      <c r="D17" s="2">
        <v>30</v>
      </c>
      <c r="E17" s="2">
        <v>30</v>
      </c>
      <c r="F17" s="2"/>
      <c r="G17" s="2">
        <v>800</v>
      </c>
      <c r="H17" s="5">
        <v>20000</v>
      </c>
      <c r="I17" s="3">
        <v>4.9000000000000004</v>
      </c>
      <c r="J17" s="2">
        <v>21.7</v>
      </c>
      <c r="K17" s="2">
        <v>8.1</v>
      </c>
    </row>
    <row r="18" spans="1:13" ht="15.75" customHeight="1">
      <c r="A18" s="2" t="s">
        <v>11</v>
      </c>
      <c r="B18" s="2" t="s">
        <v>12</v>
      </c>
      <c r="C18" s="2">
        <v>7.0000000000000007E-2</v>
      </c>
      <c r="D18" s="2">
        <v>30</v>
      </c>
      <c r="E18" s="2">
        <v>30</v>
      </c>
      <c r="F18" s="2"/>
      <c r="G18" s="2">
        <v>825</v>
      </c>
      <c r="H18" s="5">
        <v>20000</v>
      </c>
      <c r="I18" s="3">
        <v>4.9000000000000004</v>
      </c>
      <c r="J18" s="2">
        <v>23.5</v>
      </c>
      <c r="K18" s="2">
        <v>11</v>
      </c>
    </row>
    <row r="19" spans="1:13" ht="15.75" customHeight="1">
      <c r="A19" s="2" t="s">
        <v>11</v>
      </c>
      <c r="B19" s="2" t="s">
        <v>12</v>
      </c>
      <c r="C19" s="2">
        <v>7.0000000000000007E-2</v>
      </c>
      <c r="D19" s="2">
        <v>30</v>
      </c>
      <c r="E19" s="2">
        <v>30</v>
      </c>
      <c r="F19" s="2"/>
      <c r="G19" s="2">
        <v>850</v>
      </c>
      <c r="H19" s="5">
        <v>20000</v>
      </c>
      <c r="I19" s="3">
        <v>4.9000000000000004</v>
      </c>
      <c r="J19" s="2">
        <v>25</v>
      </c>
      <c r="K19" s="2">
        <v>14.4</v>
      </c>
    </row>
    <row r="20" spans="1:13" ht="15.75" customHeight="1">
      <c r="A20" s="2" t="s">
        <v>13</v>
      </c>
      <c r="B20" s="2"/>
      <c r="C20" s="2">
        <v>0.15</v>
      </c>
      <c r="D20" s="2">
        <v>60</v>
      </c>
      <c r="E20" s="2">
        <v>120</v>
      </c>
      <c r="F20" s="2"/>
      <c r="G20" s="2">
        <v>600</v>
      </c>
      <c r="H20" s="2"/>
      <c r="I20" s="2">
        <v>7.8</v>
      </c>
      <c r="J20" s="4">
        <v>4</v>
      </c>
      <c r="K20" s="4">
        <v>8.8000000000000007</v>
      </c>
      <c r="L20" s="4">
        <v>57</v>
      </c>
      <c r="M20" s="4"/>
    </row>
    <row r="21" spans="1:13" ht="15.75" customHeight="1">
      <c r="A21" s="2" t="s">
        <v>14</v>
      </c>
      <c r="B21" s="2"/>
      <c r="C21" s="2">
        <v>6.55</v>
      </c>
      <c r="D21" s="2">
        <v>100</v>
      </c>
      <c r="E21" s="2">
        <v>20</v>
      </c>
      <c r="F21" s="2"/>
      <c r="G21" s="2">
        <v>700</v>
      </c>
      <c r="H21" s="2"/>
      <c r="I21" s="2">
        <v>1.42</v>
      </c>
      <c r="J21" s="4">
        <v>2.2000000000000002</v>
      </c>
      <c r="K21" s="4">
        <v>23</v>
      </c>
      <c r="L21" s="4">
        <v>0.4</v>
      </c>
      <c r="M21" s="4"/>
    </row>
    <row r="22" spans="1:13" ht="15.75" customHeight="1">
      <c r="A22" s="2" t="s">
        <v>14</v>
      </c>
      <c r="B22" s="2"/>
      <c r="C22" s="2">
        <v>6.55</v>
      </c>
      <c r="D22" s="2">
        <v>100</v>
      </c>
      <c r="E22" s="2">
        <v>20</v>
      </c>
      <c r="F22" s="2"/>
      <c r="G22" s="2">
        <v>724</v>
      </c>
      <c r="H22" s="2"/>
      <c r="I22" s="2">
        <v>1.42</v>
      </c>
      <c r="J22" s="4">
        <v>3.1</v>
      </c>
      <c r="K22" s="4">
        <v>26.7</v>
      </c>
      <c r="L22" s="4">
        <v>0.9</v>
      </c>
      <c r="M22" s="4"/>
    </row>
    <row r="23" spans="1:13" ht="15.75" customHeight="1">
      <c r="A23" s="2" t="s">
        <v>14</v>
      </c>
      <c r="B23" s="2"/>
      <c r="C23" s="2">
        <v>6.55</v>
      </c>
      <c r="D23" s="2">
        <v>100</v>
      </c>
      <c r="E23" s="2">
        <v>20</v>
      </c>
      <c r="F23" s="2"/>
      <c r="G23" s="2">
        <v>750</v>
      </c>
      <c r="H23" s="2"/>
      <c r="I23" s="2">
        <v>1.42</v>
      </c>
      <c r="J23" s="4">
        <v>4.9000000000000004</v>
      </c>
      <c r="K23" s="4">
        <v>33.700000000000003</v>
      </c>
      <c r="L23" s="4">
        <v>1.2</v>
      </c>
      <c r="M23" s="4"/>
    </row>
    <row r="24" spans="1:13" ht="15.75" customHeight="1">
      <c r="A24" s="2" t="s">
        <v>15</v>
      </c>
      <c r="B24" s="2"/>
      <c r="C24" s="2">
        <v>6.12</v>
      </c>
      <c r="D24" s="2">
        <v>100</v>
      </c>
      <c r="E24" s="2">
        <v>20</v>
      </c>
      <c r="F24" s="2"/>
      <c r="G24" s="2">
        <v>700</v>
      </c>
      <c r="H24" s="2"/>
      <c r="I24" s="2">
        <v>1.2749999999999999</v>
      </c>
      <c r="J24" s="4">
        <v>4.2</v>
      </c>
      <c r="K24" s="4">
        <v>26.9</v>
      </c>
      <c r="L24" s="4">
        <v>0.2</v>
      </c>
      <c r="M24" s="4"/>
    </row>
    <row r="25" spans="1:13" ht="15.75" customHeight="1">
      <c r="A25" s="2" t="s">
        <v>16</v>
      </c>
      <c r="B25" s="2"/>
      <c r="C25" s="2">
        <v>6.12</v>
      </c>
      <c r="D25" s="2">
        <v>100</v>
      </c>
      <c r="E25" s="2">
        <v>20</v>
      </c>
      <c r="F25" s="2"/>
      <c r="G25" s="2">
        <v>724</v>
      </c>
      <c r="H25" s="2"/>
      <c r="I25" s="2">
        <v>1.2749999999999999</v>
      </c>
      <c r="J25" s="4">
        <v>7.8</v>
      </c>
      <c r="K25" s="4">
        <v>38.5</v>
      </c>
      <c r="L25" s="4">
        <v>0.6</v>
      </c>
      <c r="M25" s="4"/>
    </row>
    <row r="26" spans="1:13" ht="15.75" customHeight="1">
      <c r="A26" s="2" t="s">
        <v>15</v>
      </c>
      <c r="B26" s="2"/>
      <c r="C26" s="2">
        <v>6.12</v>
      </c>
      <c r="D26" s="2">
        <v>100</v>
      </c>
      <c r="E26" s="2">
        <v>20</v>
      </c>
      <c r="F26" s="2"/>
      <c r="G26" s="2">
        <v>750</v>
      </c>
      <c r="H26" s="2"/>
      <c r="I26" s="2">
        <v>1.2749999999999999</v>
      </c>
      <c r="J26" s="4">
        <v>10.9</v>
      </c>
      <c r="K26" s="4">
        <v>42.8</v>
      </c>
      <c r="L26" s="4">
        <v>1</v>
      </c>
      <c r="M26" s="4"/>
    </row>
    <row r="27" spans="1:13" ht="14.4">
      <c r="A27" s="2" t="s">
        <v>15</v>
      </c>
      <c r="B27" s="2"/>
      <c r="C27" s="2">
        <v>6.12</v>
      </c>
      <c r="D27" s="2">
        <v>100</v>
      </c>
      <c r="E27" s="2">
        <v>20</v>
      </c>
      <c r="F27" s="2"/>
      <c r="G27" s="2">
        <v>776</v>
      </c>
      <c r="H27" s="2"/>
      <c r="I27" s="2">
        <v>1.2749999999999999</v>
      </c>
      <c r="J27" s="4">
        <v>14.9</v>
      </c>
      <c r="K27" s="4">
        <v>46.5</v>
      </c>
      <c r="L27" s="4">
        <v>1.5</v>
      </c>
      <c r="M27" s="4"/>
    </row>
    <row r="28" spans="1:13" ht="14.4">
      <c r="A28" s="2" t="s">
        <v>15</v>
      </c>
      <c r="B28" s="2"/>
      <c r="C28" s="2">
        <v>6.12</v>
      </c>
      <c r="D28" s="2">
        <v>100</v>
      </c>
      <c r="E28" s="2">
        <v>20</v>
      </c>
      <c r="F28" s="2"/>
      <c r="G28" s="2">
        <v>800</v>
      </c>
      <c r="H28" s="2"/>
      <c r="I28" s="2">
        <v>1.2749999999999999</v>
      </c>
      <c r="J28" s="4">
        <v>17.399999999999999</v>
      </c>
      <c r="K28" s="4">
        <v>52.1</v>
      </c>
      <c r="L28" s="4">
        <v>1.6</v>
      </c>
      <c r="M28" s="4"/>
    </row>
    <row r="29" spans="1:13" ht="14.4">
      <c r="A29" s="2" t="s">
        <v>17</v>
      </c>
      <c r="B29" s="2"/>
      <c r="C29" s="2">
        <v>6.88</v>
      </c>
      <c r="D29" s="2">
        <v>100</v>
      </c>
      <c r="E29" s="2">
        <v>20</v>
      </c>
      <c r="F29" s="2"/>
      <c r="G29" s="2">
        <v>700</v>
      </c>
      <c r="H29" s="2"/>
      <c r="I29" s="2">
        <v>1.93</v>
      </c>
      <c r="J29" s="4">
        <v>7.1</v>
      </c>
      <c r="K29" s="4">
        <v>41.3</v>
      </c>
      <c r="L29" s="4">
        <v>1.7</v>
      </c>
      <c r="M29" s="4"/>
    </row>
    <row r="30" spans="1:13" ht="14.4">
      <c r="A30" s="2" t="s">
        <v>17</v>
      </c>
      <c r="B30" s="2"/>
      <c r="C30" s="2">
        <v>6.88</v>
      </c>
      <c r="D30" s="2">
        <v>100</v>
      </c>
      <c r="E30" s="2">
        <v>20</v>
      </c>
      <c r="F30" s="2"/>
      <c r="G30" s="2">
        <v>724</v>
      </c>
      <c r="H30" s="2"/>
      <c r="I30" s="2">
        <v>1.93</v>
      </c>
      <c r="J30" s="4">
        <v>12.5</v>
      </c>
      <c r="K30" s="4">
        <v>52.4</v>
      </c>
      <c r="L30" s="4">
        <v>2</v>
      </c>
      <c r="M30" s="4"/>
    </row>
    <row r="31" spans="1:13" ht="14.4">
      <c r="A31" s="2" t="s">
        <v>17</v>
      </c>
      <c r="B31" s="2"/>
      <c r="C31" s="2">
        <v>6.88</v>
      </c>
      <c r="D31" s="2">
        <v>100</v>
      </c>
      <c r="E31" s="2">
        <v>20</v>
      </c>
      <c r="F31" s="2"/>
      <c r="G31" s="2">
        <v>750</v>
      </c>
      <c r="H31" s="2"/>
      <c r="I31" s="2">
        <v>1.93</v>
      </c>
      <c r="J31" s="4">
        <v>16.399999999999999</v>
      </c>
      <c r="K31" s="4">
        <v>57</v>
      </c>
      <c r="L31" s="4">
        <v>2</v>
      </c>
      <c r="M31" s="4"/>
    </row>
    <row r="32" spans="1:13" ht="14.4">
      <c r="A32" s="2" t="s">
        <v>17</v>
      </c>
      <c r="B32" s="2"/>
      <c r="C32" s="2">
        <v>6.88</v>
      </c>
      <c r="D32" s="2">
        <v>100</v>
      </c>
      <c r="E32" s="2">
        <v>20</v>
      </c>
      <c r="F32" s="2"/>
      <c r="G32" s="2">
        <v>776</v>
      </c>
      <c r="H32" s="2"/>
      <c r="I32" s="2">
        <v>1.93</v>
      </c>
      <c r="J32" s="4">
        <v>20.7</v>
      </c>
      <c r="K32" s="4">
        <v>61</v>
      </c>
      <c r="L32" s="4">
        <v>1.6</v>
      </c>
      <c r="M32" s="4"/>
    </row>
    <row r="33" spans="1:13" ht="14.4">
      <c r="A33" s="2" t="s">
        <v>17</v>
      </c>
      <c r="B33" s="2"/>
      <c r="C33" s="2">
        <v>6.88</v>
      </c>
      <c r="D33" s="2">
        <v>100</v>
      </c>
      <c r="E33" s="2">
        <v>20</v>
      </c>
      <c r="F33" s="2"/>
      <c r="G33" s="2">
        <v>800</v>
      </c>
      <c r="H33" s="2"/>
      <c r="I33" s="2">
        <v>1.93</v>
      </c>
      <c r="J33" s="4">
        <v>22.4</v>
      </c>
      <c r="K33" s="4">
        <v>62.1</v>
      </c>
      <c r="L33" s="4">
        <v>1.6</v>
      </c>
      <c r="M33" s="4"/>
    </row>
    <row r="34" spans="1:13" ht="14.4">
      <c r="A34" s="2" t="s">
        <v>18</v>
      </c>
      <c r="B34" s="2"/>
      <c r="C34" s="2">
        <v>6.85</v>
      </c>
      <c r="D34" s="2">
        <v>100</v>
      </c>
      <c r="E34" s="2">
        <v>20</v>
      </c>
      <c r="F34" s="2"/>
      <c r="G34" s="2">
        <v>700</v>
      </c>
      <c r="H34" s="2"/>
      <c r="I34" s="2">
        <v>0.75</v>
      </c>
      <c r="J34" s="4">
        <v>7.3</v>
      </c>
      <c r="K34" s="4">
        <v>38.1</v>
      </c>
      <c r="L34" s="4">
        <v>0.9</v>
      </c>
      <c r="M34" s="4"/>
    </row>
    <row r="35" spans="1:13" ht="14.4">
      <c r="A35" s="2" t="s">
        <v>18</v>
      </c>
      <c r="B35" s="2"/>
      <c r="C35" s="2">
        <v>6.85</v>
      </c>
      <c r="D35" s="2">
        <v>100</v>
      </c>
      <c r="E35" s="2">
        <v>20</v>
      </c>
      <c r="F35" s="2"/>
      <c r="G35" s="2">
        <v>724</v>
      </c>
      <c r="H35" s="2"/>
      <c r="I35" s="2">
        <v>0.75</v>
      </c>
      <c r="J35" s="4">
        <v>10</v>
      </c>
      <c r="K35" s="4">
        <v>48.1</v>
      </c>
      <c r="L35" s="4">
        <v>1.9</v>
      </c>
      <c r="M35" s="4"/>
    </row>
    <row r="36" spans="1:13" ht="14.4">
      <c r="A36" s="2" t="s">
        <v>18</v>
      </c>
      <c r="B36" s="2"/>
      <c r="C36" s="2">
        <v>6.85</v>
      </c>
      <c r="D36" s="2">
        <v>100</v>
      </c>
      <c r="E36" s="2">
        <v>20</v>
      </c>
      <c r="F36" s="2"/>
      <c r="G36" s="2">
        <v>750</v>
      </c>
      <c r="H36" s="2"/>
      <c r="I36" s="2">
        <v>0.75</v>
      </c>
      <c r="J36" s="4">
        <v>12.9</v>
      </c>
      <c r="K36" s="4">
        <v>54.9</v>
      </c>
      <c r="L36" s="4">
        <v>2.2999999999999998</v>
      </c>
      <c r="M36" s="4"/>
    </row>
    <row r="37" spans="1:13" ht="14.4">
      <c r="A37" s="2" t="s">
        <v>18</v>
      </c>
      <c r="B37" s="2"/>
      <c r="C37" s="2">
        <v>6.85</v>
      </c>
      <c r="D37" s="2">
        <v>100</v>
      </c>
      <c r="E37" s="2">
        <v>20</v>
      </c>
      <c r="F37" s="2"/>
      <c r="G37" s="2">
        <v>776</v>
      </c>
      <c r="H37" s="2"/>
      <c r="I37" s="2">
        <v>0.75</v>
      </c>
      <c r="J37" s="4">
        <v>18.600000000000001</v>
      </c>
      <c r="K37" s="4">
        <v>61</v>
      </c>
      <c r="L37" s="4">
        <v>1.8</v>
      </c>
      <c r="M37" s="4"/>
    </row>
    <row r="38" spans="1:13" ht="14.4">
      <c r="A38" s="2" t="s">
        <v>18</v>
      </c>
      <c r="B38" s="2"/>
      <c r="C38" s="2">
        <v>6.85</v>
      </c>
      <c r="D38" s="2">
        <v>100</v>
      </c>
      <c r="E38" s="2">
        <v>20</v>
      </c>
      <c r="F38" s="2"/>
      <c r="G38" s="2">
        <v>800</v>
      </c>
      <c r="H38" s="2"/>
      <c r="I38" s="2">
        <v>0.75</v>
      </c>
      <c r="J38" s="4">
        <v>23.8</v>
      </c>
      <c r="K38" s="4">
        <v>59.4</v>
      </c>
      <c r="L38" s="4">
        <v>1.4</v>
      </c>
      <c r="M38" s="4"/>
    </row>
    <row r="39" spans="1:13" ht="14.4">
      <c r="A39" s="2" t="s">
        <v>19</v>
      </c>
      <c r="B39" s="2"/>
      <c r="C39" s="2">
        <v>6.06</v>
      </c>
      <c r="D39" s="2">
        <v>100</v>
      </c>
      <c r="E39" s="2">
        <v>20</v>
      </c>
      <c r="F39" s="2"/>
      <c r="G39" s="2">
        <v>700</v>
      </c>
      <c r="H39" s="2"/>
      <c r="I39" s="2">
        <v>0.78</v>
      </c>
      <c r="J39" s="4">
        <v>5.2</v>
      </c>
      <c r="K39" s="4">
        <v>26.5</v>
      </c>
      <c r="L39" s="4">
        <v>0.2</v>
      </c>
      <c r="M39" s="4"/>
    </row>
    <row r="40" spans="1:13" ht="14.4">
      <c r="A40" s="2" t="s">
        <v>19</v>
      </c>
      <c r="B40" s="2"/>
      <c r="C40" s="2">
        <v>6.06</v>
      </c>
      <c r="D40" s="2">
        <v>100</v>
      </c>
      <c r="E40" s="2">
        <v>20</v>
      </c>
      <c r="F40" s="2"/>
      <c r="G40" s="2">
        <v>724</v>
      </c>
      <c r="H40" s="2"/>
      <c r="I40" s="2">
        <v>0.78</v>
      </c>
      <c r="J40" s="4">
        <v>6.2</v>
      </c>
      <c r="K40" s="4">
        <v>31.2</v>
      </c>
      <c r="L40" s="4">
        <v>0.4</v>
      </c>
      <c r="M40" s="4"/>
    </row>
    <row r="41" spans="1:13" ht="14.4">
      <c r="A41" s="2" t="s">
        <v>19</v>
      </c>
      <c r="B41" s="2"/>
      <c r="C41" s="2">
        <v>6.06</v>
      </c>
      <c r="D41" s="2">
        <v>100</v>
      </c>
      <c r="E41" s="2">
        <v>20</v>
      </c>
      <c r="F41" s="2"/>
      <c r="G41" s="2">
        <v>750</v>
      </c>
      <c r="H41" s="2"/>
      <c r="I41" s="2">
        <v>0.78</v>
      </c>
      <c r="J41" s="4">
        <v>8.1999999999999993</v>
      </c>
      <c r="K41" s="4">
        <v>35.299999999999997</v>
      </c>
      <c r="L41" s="4">
        <v>0.8</v>
      </c>
      <c r="M41" s="4"/>
    </row>
    <row r="42" spans="1:13" ht="14.4">
      <c r="A42" s="2" t="s">
        <v>19</v>
      </c>
      <c r="B42" s="2"/>
      <c r="C42" s="2">
        <v>6.06</v>
      </c>
      <c r="D42" s="2">
        <v>100</v>
      </c>
      <c r="E42" s="2">
        <v>20</v>
      </c>
      <c r="F42" s="2"/>
      <c r="G42" s="2">
        <v>776</v>
      </c>
      <c r="H42" s="2"/>
      <c r="I42" s="2">
        <v>0.78</v>
      </c>
      <c r="J42" s="4">
        <v>13.7</v>
      </c>
      <c r="K42" s="4">
        <v>42.5</v>
      </c>
      <c r="L42" s="4">
        <v>1.1000000000000001</v>
      </c>
      <c r="M42" s="4"/>
    </row>
    <row r="43" spans="1:13" ht="14.4">
      <c r="A43" s="2" t="s">
        <v>19</v>
      </c>
      <c r="B43" s="2"/>
      <c r="C43" s="2">
        <v>6.06</v>
      </c>
      <c r="D43" s="2">
        <v>100</v>
      </c>
      <c r="E43" s="2">
        <v>20</v>
      </c>
      <c r="F43" s="2"/>
      <c r="G43" s="2">
        <v>800</v>
      </c>
      <c r="H43" s="2"/>
      <c r="I43" s="2">
        <v>0.78</v>
      </c>
      <c r="J43" s="4">
        <v>21.7</v>
      </c>
      <c r="K43" s="4">
        <v>47.6</v>
      </c>
      <c r="L43" s="4">
        <v>1.3</v>
      </c>
      <c r="M43" s="4"/>
    </row>
    <row r="44" spans="1:13" ht="43.2">
      <c r="A44" s="6" t="s">
        <v>20</v>
      </c>
      <c r="B44" s="1" t="s">
        <v>21</v>
      </c>
      <c r="C44" s="1">
        <v>5</v>
      </c>
      <c r="D44" s="1"/>
      <c r="E44" s="1">
        <v>30</v>
      </c>
      <c r="F44" s="1"/>
      <c r="G44" s="1">
        <v>850</v>
      </c>
      <c r="H44" s="1">
        <v>4800</v>
      </c>
      <c r="I44" s="1"/>
      <c r="J44" s="7">
        <v>22</v>
      </c>
      <c r="K44" s="1"/>
      <c r="L44" s="7">
        <v>6</v>
      </c>
      <c r="M44" s="7"/>
    </row>
    <row r="45" spans="1:13" ht="14.4">
      <c r="A45" s="1" t="s">
        <v>22</v>
      </c>
      <c r="B45" s="1" t="s">
        <v>23</v>
      </c>
      <c r="C45" s="1">
        <v>0.5</v>
      </c>
      <c r="D45" s="1">
        <v>25</v>
      </c>
      <c r="E45" s="1">
        <v>15</v>
      </c>
      <c r="F45" s="1"/>
      <c r="G45" s="1">
        <v>500</v>
      </c>
      <c r="H45" s="1"/>
      <c r="I45" s="1"/>
      <c r="J45" s="1">
        <v>43.4</v>
      </c>
      <c r="K45" s="1">
        <v>30.6</v>
      </c>
    </row>
    <row r="46" spans="1:13" ht="14.4">
      <c r="A46" s="1" t="s">
        <v>24</v>
      </c>
      <c r="B46" s="1" t="s">
        <v>25</v>
      </c>
      <c r="C46" s="1">
        <v>0.2</v>
      </c>
      <c r="D46" s="1"/>
      <c r="E46" s="1">
        <v>360</v>
      </c>
      <c r="F46" s="1"/>
      <c r="G46" s="1">
        <v>800</v>
      </c>
      <c r="H46" s="1">
        <v>1E-4</v>
      </c>
      <c r="I46" s="1">
        <v>0.8</v>
      </c>
      <c r="J46" s="1">
        <v>20.5</v>
      </c>
      <c r="K46" s="1">
        <v>39.5</v>
      </c>
    </row>
    <row r="47" spans="1:13" ht="14.4">
      <c r="A47" s="1" t="s">
        <v>24</v>
      </c>
      <c r="B47" s="1" t="s">
        <v>25</v>
      </c>
      <c r="C47" s="1">
        <v>0.2</v>
      </c>
      <c r="D47" s="1"/>
      <c r="E47" s="1">
        <v>360</v>
      </c>
      <c r="F47" s="1"/>
      <c r="G47" s="1">
        <v>800</v>
      </c>
      <c r="H47" s="1">
        <v>1E-4</v>
      </c>
      <c r="I47" s="1">
        <v>1.3</v>
      </c>
      <c r="J47" s="1">
        <v>37.700000000000003</v>
      </c>
      <c r="K47" s="1">
        <v>44.6</v>
      </c>
    </row>
    <row r="48" spans="1:13" ht="13.2">
      <c r="A48" s="8" t="s">
        <v>24</v>
      </c>
      <c r="B48" s="8" t="s">
        <v>25</v>
      </c>
      <c r="C48" s="8">
        <v>0.2</v>
      </c>
      <c r="E48" s="8">
        <v>360</v>
      </c>
      <c r="G48" s="8">
        <v>800</v>
      </c>
      <c r="H48" s="8">
        <v>1E-4</v>
      </c>
      <c r="I48" s="8">
        <v>1.4</v>
      </c>
      <c r="J48" s="8">
        <v>32.5</v>
      </c>
      <c r="K48" s="8">
        <v>49</v>
      </c>
    </row>
    <row r="49" spans="1:13" ht="13.2">
      <c r="A49" s="8" t="s">
        <v>24</v>
      </c>
      <c r="B49" s="8" t="s">
        <v>26</v>
      </c>
      <c r="C49" s="8">
        <v>0.2</v>
      </c>
      <c r="E49" s="8">
        <v>360</v>
      </c>
      <c r="G49" s="8">
        <v>800</v>
      </c>
      <c r="H49" s="8">
        <v>1E-4</v>
      </c>
      <c r="I49" s="8">
        <v>1.7</v>
      </c>
      <c r="J49" s="8">
        <v>46.8</v>
      </c>
      <c r="K49" s="8">
        <v>51.2</v>
      </c>
    </row>
    <row r="50" spans="1:13" ht="14.4">
      <c r="A50" s="1" t="s">
        <v>24</v>
      </c>
      <c r="B50" s="1" t="s">
        <v>26</v>
      </c>
      <c r="C50" s="1">
        <v>0.2</v>
      </c>
      <c r="D50" s="1"/>
      <c r="E50" s="1">
        <v>360</v>
      </c>
      <c r="F50" s="1"/>
      <c r="G50" s="1">
        <v>800</v>
      </c>
      <c r="H50" s="1">
        <v>1E-4</v>
      </c>
      <c r="I50" s="1">
        <v>2.2000000000000002</v>
      </c>
      <c r="J50" s="1">
        <v>41.1</v>
      </c>
      <c r="K50" s="1">
        <v>54.2</v>
      </c>
    </row>
    <row r="51" spans="1:13" ht="14.4">
      <c r="A51" s="1" t="s">
        <v>24</v>
      </c>
      <c r="B51" s="1" t="s">
        <v>26</v>
      </c>
      <c r="C51" s="1">
        <v>0.2</v>
      </c>
      <c r="D51" s="1"/>
      <c r="E51" s="1">
        <v>360</v>
      </c>
      <c r="F51" s="1"/>
      <c r="G51" s="1">
        <v>800</v>
      </c>
      <c r="H51" s="1">
        <v>1E-4</v>
      </c>
      <c r="I51" s="1">
        <v>2.1</v>
      </c>
      <c r="J51" s="1">
        <v>49.8</v>
      </c>
      <c r="K51" s="1">
        <v>51.6</v>
      </c>
    </row>
    <row r="52" spans="1:13" ht="14.4">
      <c r="A52" s="1" t="s">
        <v>24</v>
      </c>
      <c r="B52" s="1" t="s">
        <v>26</v>
      </c>
      <c r="C52" s="1">
        <v>0.2</v>
      </c>
      <c r="D52" s="1"/>
      <c r="E52" s="1">
        <v>360</v>
      </c>
      <c r="F52" s="1"/>
      <c r="G52" s="1">
        <v>800</v>
      </c>
      <c r="H52" s="1">
        <v>1E-4</v>
      </c>
      <c r="I52" s="1">
        <v>2.1</v>
      </c>
      <c r="J52" s="1">
        <v>41.3</v>
      </c>
      <c r="K52" s="1">
        <v>48.4</v>
      </c>
      <c r="L52" s="1"/>
      <c r="M52" s="1"/>
    </row>
    <row r="53" spans="1:13" ht="14.4">
      <c r="A53" s="1" t="s">
        <v>27</v>
      </c>
      <c r="B53" s="1" t="s">
        <v>28</v>
      </c>
      <c r="C53" s="1">
        <v>0.4</v>
      </c>
      <c r="D53" s="1">
        <v>50</v>
      </c>
      <c r="E53" s="1">
        <v>30</v>
      </c>
      <c r="F53" s="1"/>
      <c r="G53" s="1">
        <v>729</v>
      </c>
      <c r="H53" s="1">
        <v>150000</v>
      </c>
      <c r="I53" s="9">
        <v>6.8</v>
      </c>
      <c r="J53" s="1">
        <v>19.100000000000001</v>
      </c>
      <c r="K53" s="1">
        <v>26.2</v>
      </c>
      <c r="L53" s="1">
        <v>6.1</v>
      </c>
      <c r="M53" s="1"/>
    </row>
    <row r="54" spans="1:13" ht="14.4">
      <c r="A54" s="1" t="s">
        <v>29</v>
      </c>
      <c r="B54" s="1" t="s">
        <v>28</v>
      </c>
      <c r="C54" s="1">
        <v>0.4</v>
      </c>
      <c r="D54" s="1">
        <v>50</v>
      </c>
      <c r="E54" s="1">
        <v>30</v>
      </c>
      <c r="F54" s="1"/>
      <c r="G54" s="1">
        <v>729</v>
      </c>
      <c r="H54" s="1">
        <v>150000</v>
      </c>
      <c r="I54" s="1">
        <v>6.8</v>
      </c>
      <c r="J54" s="1">
        <v>20.2</v>
      </c>
      <c r="K54" s="1">
        <v>36.1</v>
      </c>
      <c r="L54" s="1">
        <v>5.7</v>
      </c>
      <c r="M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F7ED-D1E9-42C4-A7BC-CEC639A9472E}">
  <dimension ref="A1:N56"/>
  <sheetViews>
    <sheetView tabSelected="1" workbookViewId="0">
      <selection activeCell="I1" sqref="I1"/>
    </sheetView>
  </sheetViews>
  <sheetFormatPr defaultRowHeight="13.2"/>
  <sheetData>
    <row r="1" spans="1:14" ht="41.4" thickBot="1">
      <c r="A1" s="14" t="s">
        <v>36</v>
      </c>
      <c r="B1" s="14" t="s">
        <v>63</v>
      </c>
      <c r="C1" s="14" t="s">
        <v>48</v>
      </c>
      <c r="D1" s="14" t="s">
        <v>37</v>
      </c>
      <c r="E1" s="14" t="s">
        <v>38</v>
      </c>
      <c r="F1" s="14" t="s">
        <v>39</v>
      </c>
      <c r="G1" s="14" t="s">
        <v>40</v>
      </c>
      <c r="H1" s="14" t="s">
        <v>41</v>
      </c>
      <c r="I1" s="14" t="s">
        <v>42</v>
      </c>
      <c r="J1" s="14" t="s">
        <v>43</v>
      </c>
      <c r="K1" s="14" t="s">
        <v>44</v>
      </c>
      <c r="L1" s="14" t="s">
        <v>45</v>
      </c>
      <c r="M1" s="14" t="s">
        <v>46</v>
      </c>
      <c r="N1" s="14" t="s">
        <v>47</v>
      </c>
    </row>
    <row r="2" spans="1:14">
      <c r="A2" s="11">
        <v>1</v>
      </c>
      <c r="B2" s="12">
        <v>210</v>
      </c>
      <c r="C2" s="12">
        <f>B2/A2</f>
        <v>210</v>
      </c>
      <c r="D2" s="13">
        <v>0.5</v>
      </c>
      <c r="E2" s="12">
        <v>26.3</v>
      </c>
      <c r="F2" s="12">
        <v>78.8</v>
      </c>
      <c r="G2" s="12">
        <v>105</v>
      </c>
      <c r="H2" s="12">
        <v>97.8</v>
      </c>
      <c r="I2" s="12">
        <v>31.1</v>
      </c>
      <c r="J2" s="12">
        <v>54.2</v>
      </c>
      <c r="K2" s="12">
        <v>16.899999999999999</v>
      </c>
      <c r="L2" s="12">
        <v>10.6</v>
      </c>
      <c r="M2" s="12">
        <v>31.9</v>
      </c>
      <c r="N2" s="12">
        <v>0.8</v>
      </c>
    </row>
    <row r="3" spans="1:14">
      <c r="A3" s="11">
        <v>0.85699999999999998</v>
      </c>
      <c r="B3" s="12">
        <v>180</v>
      </c>
      <c r="C3" s="12">
        <f>B3/A3</f>
        <v>210.03500583430574</v>
      </c>
      <c r="D3" s="13">
        <v>0.5</v>
      </c>
      <c r="E3" s="12">
        <v>22.5</v>
      </c>
      <c r="F3" s="12">
        <v>67.5</v>
      </c>
      <c r="G3" s="12">
        <v>90</v>
      </c>
      <c r="H3" s="12">
        <v>94.5</v>
      </c>
      <c r="I3" s="12">
        <v>29.8</v>
      </c>
      <c r="J3" s="12">
        <v>54.1</v>
      </c>
      <c r="K3" s="12">
        <v>16.100000000000001</v>
      </c>
      <c r="L3" s="12">
        <v>13.4</v>
      </c>
      <c r="M3" s="12">
        <v>28.6</v>
      </c>
      <c r="N3" s="12">
        <v>0.7</v>
      </c>
    </row>
    <row r="4" spans="1:14">
      <c r="A4" s="11">
        <v>0.71499999999999997</v>
      </c>
      <c r="B4" s="12">
        <v>150</v>
      </c>
      <c r="C4" s="12">
        <f t="shared" ref="C4:C56" si="0">B4/A4</f>
        <v>209.79020979020979</v>
      </c>
      <c r="D4" s="13">
        <v>0.5</v>
      </c>
      <c r="E4" s="12">
        <v>18.8</v>
      </c>
      <c r="F4" s="12">
        <v>56.3</v>
      </c>
      <c r="G4" s="12">
        <v>75</v>
      </c>
      <c r="H4" s="12">
        <v>88</v>
      </c>
      <c r="I4" s="12">
        <v>25.6</v>
      </c>
      <c r="J4" s="12">
        <v>50.2</v>
      </c>
      <c r="K4" s="12">
        <v>12.9</v>
      </c>
      <c r="L4" s="12">
        <v>11.6</v>
      </c>
      <c r="M4" s="12">
        <v>35.6</v>
      </c>
      <c r="N4" s="12">
        <v>1</v>
      </c>
    </row>
    <row r="5" spans="1:14">
      <c r="A5" s="11">
        <v>0.57199999999999995</v>
      </c>
      <c r="B5" s="12">
        <v>120</v>
      </c>
      <c r="C5" s="12">
        <f t="shared" si="0"/>
        <v>209.79020979020981</v>
      </c>
      <c r="D5" s="13">
        <v>0.5</v>
      </c>
      <c r="E5" s="12">
        <v>15</v>
      </c>
      <c r="F5" s="12">
        <v>45</v>
      </c>
      <c r="G5" s="12">
        <v>60</v>
      </c>
      <c r="H5" s="12">
        <v>93.7</v>
      </c>
      <c r="I5" s="12">
        <v>26.5</v>
      </c>
      <c r="J5" s="12">
        <v>48.8</v>
      </c>
      <c r="K5" s="12">
        <v>12.9</v>
      </c>
      <c r="L5" s="12">
        <v>11.1</v>
      </c>
      <c r="M5" s="12">
        <v>37.6</v>
      </c>
      <c r="N5" s="12">
        <v>1</v>
      </c>
    </row>
    <row r="6" spans="1:14">
      <c r="A6" s="11">
        <v>0.42899999999999999</v>
      </c>
      <c r="B6" s="12">
        <v>90</v>
      </c>
      <c r="C6" s="12">
        <f t="shared" si="0"/>
        <v>209.79020979020979</v>
      </c>
      <c r="D6" s="13">
        <v>0.5</v>
      </c>
      <c r="E6" s="12">
        <v>11.3</v>
      </c>
      <c r="F6" s="12">
        <v>33.799999999999997</v>
      </c>
      <c r="G6" s="12">
        <v>45</v>
      </c>
      <c r="H6" s="12">
        <v>94.1</v>
      </c>
      <c r="I6" s="12">
        <v>23.5</v>
      </c>
      <c r="J6" s="12">
        <v>42.3</v>
      </c>
      <c r="K6" s="12">
        <v>9.9</v>
      </c>
      <c r="L6" s="12">
        <v>12.1</v>
      </c>
      <c r="M6" s="12">
        <v>44.3</v>
      </c>
      <c r="N6" s="12">
        <v>1.2</v>
      </c>
    </row>
    <row r="7" spans="1:14">
      <c r="A7" s="11">
        <v>0.28599999999999998</v>
      </c>
      <c r="B7" s="12">
        <v>60</v>
      </c>
      <c r="C7" s="12">
        <f t="shared" si="0"/>
        <v>209.79020979020981</v>
      </c>
      <c r="D7" s="13">
        <v>0.5</v>
      </c>
      <c r="E7" s="12">
        <v>7.5</v>
      </c>
      <c r="F7" s="12">
        <v>22.5</v>
      </c>
      <c r="G7" s="12">
        <v>30</v>
      </c>
      <c r="H7" s="12">
        <v>78.2</v>
      </c>
      <c r="I7" s="12">
        <v>18.600000000000001</v>
      </c>
      <c r="J7" s="12">
        <v>44.2</v>
      </c>
      <c r="K7" s="12">
        <v>8.1999999999999993</v>
      </c>
      <c r="L7" s="12">
        <v>14.9</v>
      </c>
      <c r="M7" s="12">
        <v>39.799999999999997</v>
      </c>
      <c r="N7" s="12">
        <v>1.2</v>
      </c>
    </row>
    <row r="8" spans="1:14">
      <c r="A8" s="11">
        <v>1</v>
      </c>
      <c r="B8" s="12">
        <v>210</v>
      </c>
      <c r="C8" s="12">
        <f t="shared" si="0"/>
        <v>210</v>
      </c>
      <c r="D8" s="13">
        <v>0.25</v>
      </c>
      <c r="E8" s="12">
        <v>39.4</v>
      </c>
      <c r="F8" s="12">
        <v>118.1</v>
      </c>
      <c r="G8" s="12">
        <v>52.5</v>
      </c>
      <c r="H8" s="12">
        <v>100</v>
      </c>
      <c r="I8" s="12">
        <v>33.1</v>
      </c>
      <c r="J8" s="12">
        <v>51.1</v>
      </c>
      <c r="K8" s="12">
        <v>16.899999999999999</v>
      </c>
      <c r="L8" s="12">
        <v>25</v>
      </c>
      <c r="M8" s="12">
        <v>20.100000000000001</v>
      </c>
      <c r="N8" s="12">
        <v>0.4</v>
      </c>
    </row>
    <row r="9" spans="1:14">
      <c r="A9" s="11">
        <v>0.85699999999999998</v>
      </c>
      <c r="B9" s="12">
        <v>180</v>
      </c>
      <c r="C9" s="12">
        <f t="shared" si="0"/>
        <v>210.03500583430574</v>
      </c>
      <c r="D9" s="13">
        <v>0.25</v>
      </c>
      <c r="E9" s="12">
        <v>33.799999999999997</v>
      </c>
      <c r="F9" s="12">
        <v>110.3</v>
      </c>
      <c r="G9" s="12">
        <v>45</v>
      </c>
      <c r="H9" s="12">
        <v>37.799999999999997</v>
      </c>
      <c r="I9" s="12">
        <v>12</v>
      </c>
      <c r="J9" s="12">
        <v>53.5</v>
      </c>
      <c r="K9" s="12">
        <v>6.4</v>
      </c>
      <c r="L9" s="12">
        <v>14.7</v>
      </c>
      <c r="M9" s="12">
        <v>31.8</v>
      </c>
      <c r="N9" s="12">
        <v>2.2999999999999998</v>
      </c>
    </row>
    <row r="10" spans="1:14">
      <c r="A10" s="11">
        <v>0.71499999999999997</v>
      </c>
      <c r="B10" s="12">
        <v>150</v>
      </c>
      <c r="C10" s="12">
        <f t="shared" si="0"/>
        <v>209.79020979020979</v>
      </c>
      <c r="D10" s="13">
        <v>0.25</v>
      </c>
      <c r="E10" s="12">
        <v>28.1</v>
      </c>
      <c r="F10" s="12">
        <v>84.4</v>
      </c>
      <c r="G10" s="12">
        <v>37.5</v>
      </c>
      <c r="H10" s="12">
        <v>100</v>
      </c>
      <c r="I10" s="12">
        <v>31.1</v>
      </c>
      <c r="J10" s="12">
        <v>51.4</v>
      </c>
      <c r="K10" s="12">
        <v>16</v>
      </c>
      <c r="L10" s="12">
        <v>12.1</v>
      </c>
      <c r="M10" s="12">
        <v>32.799999999999997</v>
      </c>
      <c r="N10" s="12">
        <v>0.7</v>
      </c>
    </row>
    <row r="11" spans="1:14">
      <c r="A11" s="11">
        <v>0.57199999999999995</v>
      </c>
      <c r="B11" s="12">
        <v>120</v>
      </c>
      <c r="C11" s="12">
        <f t="shared" si="0"/>
        <v>209.79020979020981</v>
      </c>
      <c r="D11" s="13">
        <v>0.25</v>
      </c>
      <c r="E11" s="12">
        <v>22.5</v>
      </c>
      <c r="F11" s="12">
        <v>67.5</v>
      </c>
      <c r="G11" s="12">
        <v>30</v>
      </c>
      <c r="H11" s="12">
        <v>100</v>
      </c>
      <c r="I11" s="12">
        <v>29.9</v>
      </c>
      <c r="J11" s="12">
        <v>49.6</v>
      </c>
      <c r="K11" s="12">
        <v>14.8</v>
      </c>
      <c r="L11" s="12">
        <v>12.1</v>
      </c>
      <c r="M11" s="12">
        <v>34.9</v>
      </c>
      <c r="N11" s="12">
        <v>0.7</v>
      </c>
    </row>
    <row r="12" spans="1:14">
      <c r="A12" s="11">
        <v>0.42899999999999999</v>
      </c>
      <c r="B12" s="12">
        <v>90</v>
      </c>
      <c r="C12" s="12">
        <f t="shared" si="0"/>
        <v>209.79020979020979</v>
      </c>
      <c r="D12" s="13">
        <v>0.25</v>
      </c>
      <c r="E12" s="12">
        <v>16.899999999999999</v>
      </c>
      <c r="F12" s="12">
        <v>50.6</v>
      </c>
      <c r="G12" s="12">
        <v>22.5</v>
      </c>
      <c r="H12" s="12">
        <v>100</v>
      </c>
      <c r="I12" s="12">
        <v>26.9</v>
      </c>
      <c r="J12" s="12">
        <v>43.7</v>
      </c>
      <c r="K12" s="12">
        <v>11.7</v>
      </c>
      <c r="L12" s="12">
        <v>12.4</v>
      </c>
      <c r="M12" s="12">
        <v>41.3</v>
      </c>
      <c r="N12" s="12">
        <v>0.9</v>
      </c>
    </row>
    <row r="13" spans="1:14">
      <c r="A13" s="11">
        <v>0.28599999999999998</v>
      </c>
      <c r="B13" s="12">
        <v>60</v>
      </c>
      <c r="C13" s="12">
        <f t="shared" si="0"/>
        <v>209.79020979020981</v>
      </c>
      <c r="D13" s="13">
        <v>0.25</v>
      </c>
      <c r="E13" s="12">
        <v>11.3</v>
      </c>
      <c r="F13" s="12">
        <v>33.799999999999997</v>
      </c>
      <c r="G13" s="12">
        <v>15</v>
      </c>
      <c r="H13" s="12">
        <v>78.2</v>
      </c>
      <c r="I13" s="12">
        <v>24.3</v>
      </c>
      <c r="J13" s="12">
        <v>44.2</v>
      </c>
      <c r="K13" s="12">
        <v>10.7</v>
      </c>
      <c r="L13" s="12">
        <v>15.1</v>
      </c>
      <c r="M13" s="12">
        <v>38.1</v>
      </c>
      <c r="N13" s="12">
        <v>0.9</v>
      </c>
    </row>
    <row r="14" spans="1:14">
      <c r="A14" s="11">
        <v>1</v>
      </c>
      <c r="B14" s="12">
        <v>210</v>
      </c>
      <c r="C14" s="12">
        <f t="shared" si="0"/>
        <v>210</v>
      </c>
      <c r="D14" s="13">
        <v>0</v>
      </c>
      <c r="E14" s="12">
        <v>52.5</v>
      </c>
      <c r="F14" s="12">
        <v>157.5</v>
      </c>
      <c r="G14" s="12">
        <v>0</v>
      </c>
      <c r="H14" s="12">
        <v>100</v>
      </c>
      <c r="I14" s="12">
        <v>31.9</v>
      </c>
      <c r="J14" s="12">
        <v>43.8</v>
      </c>
      <c r="K14" s="12">
        <v>14</v>
      </c>
      <c r="L14" s="12">
        <v>32.1</v>
      </c>
      <c r="M14" s="12">
        <v>20.2</v>
      </c>
      <c r="N14" s="12">
        <v>0.3</v>
      </c>
    </row>
    <row r="15" spans="1:14">
      <c r="A15" s="11">
        <v>0.71499999999999997</v>
      </c>
      <c r="B15" s="12">
        <v>150</v>
      </c>
      <c r="C15" s="12">
        <f t="shared" si="0"/>
        <v>209.79020979020979</v>
      </c>
      <c r="D15" s="13">
        <v>0</v>
      </c>
      <c r="E15" s="12">
        <v>37.5</v>
      </c>
      <c r="F15" s="12">
        <v>112.5</v>
      </c>
      <c r="G15" s="12">
        <v>0</v>
      </c>
      <c r="H15" s="12">
        <v>100</v>
      </c>
      <c r="I15" s="12">
        <v>34.200000000000003</v>
      </c>
      <c r="J15" s="12">
        <v>53.7</v>
      </c>
      <c r="K15" s="12">
        <v>18.399999999999999</v>
      </c>
      <c r="L15" s="12">
        <v>23.3</v>
      </c>
      <c r="M15" s="12">
        <v>18.8</v>
      </c>
      <c r="N15" s="12">
        <v>0.4</v>
      </c>
    </row>
    <row r="16" spans="1:14">
      <c r="A16" s="11">
        <v>0.57199999999999995</v>
      </c>
      <c r="B16" s="12">
        <v>120</v>
      </c>
      <c r="C16" s="12">
        <f t="shared" si="0"/>
        <v>209.79020979020981</v>
      </c>
      <c r="D16" s="13">
        <v>0</v>
      </c>
      <c r="E16" s="12">
        <v>30</v>
      </c>
      <c r="F16" s="12">
        <v>90</v>
      </c>
      <c r="G16" s="12">
        <v>0</v>
      </c>
      <c r="H16" s="12">
        <v>100</v>
      </c>
      <c r="I16" s="12">
        <v>32.799999999999997</v>
      </c>
      <c r="J16" s="12">
        <v>53.4</v>
      </c>
      <c r="K16" s="12">
        <v>17.5</v>
      </c>
      <c r="L16" s="12">
        <v>14.2</v>
      </c>
      <c r="M16" s="12">
        <v>28.1</v>
      </c>
      <c r="N16" s="12">
        <v>0.5</v>
      </c>
    </row>
    <row r="17" spans="1:14">
      <c r="A17" s="11">
        <v>0.42899999999999999</v>
      </c>
      <c r="B17" s="12">
        <v>90</v>
      </c>
      <c r="C17" s="12">
        <f t="shared" si="0"/>
        <v>209.79020979020979</v>
      </c>
      <c r="D17" s="13">
        <v>0</v>
      </c>
      <c r="E17" s="12">
        <v>22.5</v>
      </c>
      <c r="F17" s="12">
        <v>67.5</v>
      </c>
      <c r="G17" s="12">
        <v>0</v>
      </c>
      <c r="H17" s="12">
        <v>67.400000000000006</v>
      </c>
      <c r="I17" s="12">
        <v>8.5</v>
      </c>
      <c r="J17" s="12">
        <v>37.1</v>
      </c>
      <c r="K17" s="12">
        <v>3.1</v>
      </c>
      <c r="L17" s="12">
        <v>17.100000000000001</v>
      </c>
      <c r="M17" s="12">
        <v>45.8</v>
      </c>
      <c r="N17" s="12">
        <v>3.7</v>
      </c>
    </row>
    <row r="18" spans="1:14">
      <c r="A18" s="11">
        <v>0.28599999999999998</v>
      </c>
      <c r="B18" s="12">
        <v>60</v>
      </c>
      <c r="C18" s="12">
        <f t="shared" si="0"/>
        <v>209.79020979020981</v>
      </c>
      <c r="D18" s="13">
        <v>0</v>
      </c>
      <c r="E18" s="12">
        <v>15</v>
      </c>
      <c r="F18" s="12">
        <v>45</v>
      </c>
      <c r="G18" s="12">
        <v>0</v>
      </c>
      <c r="H18" s="12">
        <v>100</v>
      </c>
      <c r="I18" s="12">
        <v>27.2</v>
      </c>
      <c r="J18" s="12">
        <v>44.4</v>
      </c>
      <c r="K18" s="12">
        <v>12.1</v>
      </c>
      <c r="L18" s="12">
        <v>15.1</v>
      </c>
      <c r="M18" s="12">
        <v>37.200000000000003</v>
      </c>
      <c r="N18" s="12">
        <v>0.7</v>
      </c>
    </row>
    <row r="19" spans="1:14">
      <c r="A19" s="11">
        <v>1</v>
      </c>
      <c r="B19" s="12">
        <v>210</v>
      </c>
      <c r="C19" s="12">
        <f t="shared" si="0"/>
        <v>210</v>
      </c>
      <c r="D19" s="13">
        <v>0.75</v>
      </c>
      <c r="E19" s="12">
        <v>13.1</v>
      </c>
      <c r="F19" s="12">
        <v>39.4</v>
      </c>
      <c r="G19" s="12">
        <v>157.5</v>
      </c>
      <c r="H19" s="12">
        <v>84.2</v>
      </c>
      <c r="I19" s="12">
        <v>12.9</v>
      </c>
      <c r="J19" s="12">
        <v>60</v>
      </c>
      <c r="K19" s="12">
        <v>7.7</v>
      </c>
      <c r="L19" s="12">
        <v>0</v>
      </c>
      <c r="M19" s="12">
        <v>40</v>
      </c>
      <c r="N19" s="12">
        <v>2</v>
      </c>
    </row>
    <row r="20" spans="1:14">
      <c r="A20" s="11">
        <v>0.85699999999999998</v>
      </c>
      <c r="B20" s="12">
        <v>180</v>
      </c>
      <c r="C20" s="12">
        <f t="shared" si="0"/>
        <v>210.03500583430574</v>
      </c>
      <c r="D20" s="13">
        <v>0.75</v>
      </c>
      <c r="E20" s="12">
        <v>11.3</v>
      </c>
      <c r="F20" s="12">
        <v>33.799999999999997</v>
      </c>
      <c r="G20" s="12">
        <v>135</v>
      </c>
      <c r="H20" s="12">
        <v>80.400000000000006</v>
      </c>
      <c r="I20" s="12">
        <v>8.4</v>
      </c>
      <c r="J20" s="12">
        <v>57.1</v>
      </c>
      <c r="K20" s="12">
        <v>4.8</v>
      </c>
      <c r="L20" s="12">
        <v>0</v>
      </c>
      <c r="M20" s="12">
        <v>42.9</v>
      </c>
      <c r="N20" s="12">
        <v>3.1</v>
      </c>
    </row>
    <row r="21" spans="1:14">
      <c r="A21" s="11">
        <v>0.71499999999999997</v>
      </c>
      <c r="B21" s="12">
        <v>150</v>
      </c>
      <c r="C21" s="12">
        <f t="shared" si="0"/>
        <v>209.79020979020979</v>
      </c>
      <c r="D21" s="13">
        <v>0.75</v>
      </c>
      <c r="E21" s="12">
        <v>9.4</v>
      </c>
      <c r="F21" s="12">
        <v>28.1</v>
      </c>
      <c r="G21" s="12">
        <v>112.5</v>
      </c>
      <c r="H21" s="12">
        <v>85.2</v>
      </c>
      <c r="I21" s="12">
        <v>12.4</v>
      </c>
      <c r="J21" s="12">
        <v>58</v>
      </c>
      <c r="K21" s="12">
        <v>7.2</v>
      </c>
      <c r="L21" s="12">
        <v>0</v>
      </c>
      <c r="M21" s="12">
        <v>42</v>
      </c>
      <c r="N21" s="12">
        <v>2</v>
      </c>
    </row>
    <row r="22" spans="1:14">
      <c r="A22" s="11">
        <v>0.57199999999999995</v>
      </c>
      <c r="B22" s="12">
        <v>120</v>
      </c>
      <c r="C22" s="12">
        <f t="shared" si="0"/>
        <v>209.79020979020981</v>
      </c>
      <c r="D22" s="13">
        <v>0.75</v>
      </c>
      <c r="E22" s="12">
        <v>7.5</v>
      </c>
      <c r="F22" s="12">
        <v>22.5</v>
      </c>
      <c r="G22" s="12">
        <v>90</v>
      </c>
      <c r="H22" s="12">
        <v>87.9</v>
      </c>
      <c r="I22" s="12">
        <v>14.1</v>
      </c>
      <c r="J22" s="12">
        <v>57.9</v>
      </c>
      <c r="K22" s="12">
        <v>8.1999999999999993</v>
      </c>
      <c r="L22" s="12">
        <v>0</v>
      </c>
      <c r="M22" s="12">
        <v>42.1</v>
      </c>
      <c r="N22" s="12">
        <v>1.7</v>
      </c>
    </row>
    <row r="23" spans="1:14">
      <c r="A23" s="11">
        <v>0.42899999999999999</v>
      </c>
      <c r="B23" s="12">
        <v>90</v>
      </c>
      <c r="C23" s="12">
        <f t="shared" si="0"/>
        <v>209.79020979020979</v>
      </c>
      <c r="D23" s="13">
        <v>0.75</v>
      </c>
      <c r="E23" s="12">
        <v>5.6</v>
      </c>
      <c r="F23" s="12">
        <v>16.899999999999999</v>
      </c>
      <c r="G23" s="12">
        <v>67.5</v>
      </c>
      <c r="H23" s="12">
        <v>91.2</v>
      </c>
      <c r="I23" s="12">
        <v>15.4</v>
      </c>
      <c r="J23" s="12">
        <v>42.1</v>
      </c>
      <c r="K23" s="12">
        <v>6.5</v>
      </c>
      <c r="L23" s="12">
        <v>12.2</v>
      </c>
      <c r="M23" s="12">
        <v>45.7</v>
      </c>
      <c r="N23" s="12">
        <v>1.9</v>
      </c>
    </row>
    <row r="24" spans="1:14">
      <c r="A24" s="11">
        <v>0.28599999999999998</v>
      </c>
      <c r="B24" s="12">
        <v>60</v>
      </c>
      <c r="C24" s="12">
        <f t="shared" si="0"/>
        <v>209.79020979020981</v>
      </c>
      <c r="D24" s="13">
        <v>0.75</v>
      </c>
      <c r="E24" s="12">
        <v>3.8</v>
      </c>
      <c r="F24" s="12">
        <v>11.3</v>
      </c>
      <c r="G24" s="12">
        <v>45</v>
      </c>
      <c r="H24" s="12">
        <v>89.6</v>
      </c>
      <c r="I24" s="12">
        <v>11.5</v>
      </c>
      <c r="J24" s="12">
        <v>57.8</v>
      </c>
      <c r="K24" s="12">
        <v>6.6</v>
      </c>
      <c r="L24" s="12">
        <v>0</v>
      </c>
      <c r="M24" s="12">
        <v>42.2</v>
      </c>
      <c r="N24" s="12">
        <v>1.9</v>
      </c>
    </row>
    <row r="25" spans="1:14">
      <c r="A25" s="11">
        <v>0.75</v>
      </c>
      <c r="B25" s="12">
        <v>180</v>
      </c>
      <c r="C25" s="12">
        <f t="shared" si="0"/>
        <v>240</v>
      </c>
      <c r="D25" s="13">
        <v>0.5</v>
      </c>
      <c r="E25" s="12">
        <v>22.5</v>
      </c>
      <c r="F25" s="12">
        <v>67.5</v>
      </c>
      <c r="G25" s="12">
        <v>90</v>
      </c>
      <c r="H25" s="12">
        <v>44.7</v>
      </c>
      <c r="I25" s="12">
        <v>12.2</v>
      </c>
      <c r="J25" s="12">
        <v>51.2</v>
      </c>
      <c r="K25" s="12">
        <v>6.3</v>
      </c>
      <c r="L25" s="12">
        <v>13.9</v>
      </c>
      <c r="M25" s="12">
        <v>34.9</v>
      </c>
      <c r="N25" s="12">
        <v>2.2000000000000002</v>
      </c>
    </row>
    <row r="26" spans="1:14">
      <c r="A26" s="11">
        <v>0.75</v>
      </c>
      <c r="B26" s="12">
        <v>150</v>
      </c>
      <c r="C26" s="12">
        <f t="shared" si="0"/>
        <v>200</v>
      </c>
      <c r="D26" s="13">
        <v>0.5</v>
      </c>
      <c r="E26" s="12">
        <v>18.8</v>
      </c>
      <c r="F26" s="12">
        <v>56.3</v>
      </c>
      <c r="G26" s="12">
        <v>75</v>
      </c>
      <c r="H26" s="12">
        <v>100</v>
      </c>
      <c r="I26" s="12">
        <v>34.700000000000003</v>
      </c>
      <c r="J26" s="12">
        <v>57.4</v>
      </c>
      <c r="K26" s="12">
        <v>19.899999999999999</v>
      </c>
      <c r="L26" s="12">
        <v>14.5</v>
      </c>
      <c r="M26" s="12">
        <v>24.2</v>
      </c>
      <c r="N26" s="12">
        <v>0.5</v>
      </c>
    </row>
    <row r="27" spans="1:14">
      <c r="A27" s="11">
        <v>0.75</v>
      </c>
      <c r="B27" s="12">
        <v>120</v>
      </c>
      <c r="C27" s="12">
        <f t="shared" si="0"/>
        <v>160</v>
      </c>
      <c r="D27" s="13">
        <v>0.5</v>
      </c>
      <c r="E27" s="12">
        <v>15</v>
      </c>
      <c r="F27" s="12">
        <v>45</v>
      </c>
      <c r="G27" s="12">
        <v>60</v>
      </c>
      <c r="H27" s="12">
        <v>100</v>
      </c>
      <c r="I27" s="12">
        <v>31.1</v>
      </c>
      <c r="J27" s="12">
        <v>37.9</v>
      </c>
      <c r="K27" s="12">
        <v>11.8</v>
      </c>
      <c r="L27" s="12">
        <v>39.6</v>
      </c>
      <c r="M27" s="12">
        <v>19.3</v>
      </c>
      <c r="N27" s="12">
        <v>0.2</v>
      </c>
    </row>
    <row r="28" spans="1:14">
      <c r="A28" s="11">
        <v>0.75</v>
      </c>
      <c r="B28" s="12">
        <v>90</v>
      </c>
      <c r="C28" s="12">
        <f t="shared" si="0"/>
        <v>120</v>
      </c>
      <c r="D28" s="13">
        <v>0.5</v>
      </c>
      <c r="E28" s="12">
        <v>11.3</v>
      </c>
      <c r="F28" s="12">
        <v>33.799999999999997</v>
      </c>
      <c r="G28" s="12">
        <v>45</v>
      </c>
      <c r="H28" s="12">
        <v>75.2</v>
      </c>
      <c r="I28" s="12">
        <v>4.9000000000000004</v>
      </c>
      <c r="J28" s="12">
        <v>59.5</v>
      </c>
      <c r="K28" s="12">
        <v>2.9</v>
      </c>
      <c r="L28" s="12">
        <v>0</v>
      </c>
      <c r="M28" s="12">
        <v>40.5</v>
      </c>
      <c r="N28" s="12">
        <v>4.7</v>
      </c>
    </row>
    <row r="29" spans="1:14">
      <c r="A29" s="11">
        <v>0.75</v>
      </c>
      <c r="B29" s="12">
        <v>60</v>
      </c>
      <c r="C29" s="12">
        <f t="shared" si="0"/>
        <v>80</v>
      </c>
      <c r="D29" s="13">
        <v>0.5</v>
      </c>
      <c r="E29" s="12">
        <v>7.5</v>
      </c>
      <c r="F29" s="12">
        <v>22.5</v>
      </c>
      <c r="G29" s="12">
        <v>30</v>
      </c>
      <c r="H29" s="12">
        <v>87.7</v>
      </c>
      <c r="I29" s="12">
        <v>32.1</v>
      </c>
      <c r="J29" s="12">
        <v>56.4</v>
      </c>
      <c r="K29" s="12">
        <v>18.100000000000001</v>
      </c>
      <c r="L29" s="12">
        <v>12.9</v>
      </c>
      <c r="M29" s="12">
        <v>26.7</v>
      </c>
      <c r="N29" s="12">
        <v>0.6</v>
      </c>
    </row>
    <row r="30" spans="1:14">
      <c r="A30" s="11">
        <v>0.5</v>
      </c>
      <c r="B30" s="12">
        <v>210</v>
      </c>
      <c r="C30" s="12">
        <f t="shared" si="0"/>
        <v>420</v>
      </c>
      <c r="D30" s="13">
        <v>0.75</v>
      </c>
      <c r="E30" s="12">
        <v>13.1</v>
      </c>
      <c r="F30" s="12">
        <v>39.4</v>
      </c>
      <c r="G30" s="12">
        <v>157.5</v>
      </c>
      <c r="H30" s="12">
        <v>77.2</v>
      </c>
      <c r="I30" s="12">
        <v>5.3</v>
      </c>
      <c r="J30" s="12">
        <v>48</v>
      </c>
      <c r="K30" s="12">
        <v>2.6</v>
      </c>
      <c r="L30" s="12">
        <v>0</v>
      </c>
      <c r="M30" s="12">
        <v>52</v>
      </c>
      <c r="N30" s="12">
        <v>4.7</v>
      </c>
    </row>
    <row r="31" spans="1:14">
      <c r="A31" s="11">
        <v>0.42899999999999999</v>
      </c>
      <c r="B31" s="12">
        <v>180</v>
      </c>
      <c r="C31" s="12">
        <f t="shared" si="0"/>
        <v>419.58041958041957</v>
      </c>
      <c r="D31" s="13">
        <v>0.75</v>
      </c>
      <c r="E31" s="12">
        <v>11.3</v>
      </c>
      <c r="F31" s="12">
        <v>33.799999999999997</v>
      </c>
      <c r="G31" s="12">
        <v>135</v>
      </c>
      <c r="H31" s="12">
        <v>81</v>
      </c>
      <c r="I31" s="12">
        <v>7.4</v>
      </c>
      <c r="J31" s="12">
        <v>45.4</v>
      </c>
      <c r="K31" s="12">
        <v>3.4</v>
      </c>
      <c r="L31" s="12">
        <v>0</v>
      </c>
      <c r="M31" s="12">
        <v>54.6</v>
      </c>
      <c r="N31" s="12">
        <v>3.7</v>
      </c>
    </row>
    <row r="32" spans="1:14">
      <c r="A32" s="11">
        <v>0.35699999999999998</v>
      </c>
      <c r="B32" s="12">
        <v>150</v>
      </c>
      <c r="C32" s="12">
        <f t="shared" si="0"/>
        <v>420.1680672268908</v>
      </c>
      <c r="D32" s="13">
        <v>0.75</v>
      </c>
      <c r="E32" s="12">
        <v>9.4</v>
      </c>
      <c r="F32" s="12">
        <v>28.1</v>
      </c>
      <c r="G32" s="12">
        <v>112.5</v>
      </c>
      <c r="H32" s="12">
        <v>79.2</v>
      </c>
      <c r="I32" s="12">
        <v>6.6</v>
      </c>
      <c r="J32" s="12">
        <v>55.8</v>
      </c>
      <c r="K32" s="12">
        <v>3.7</v>
      </c>
      <c r="L32" s="12">
        <v>0</v>
      </c>
      <c r="M32" s="12">
        <v>44.2</v>
      </c>
      <c r="N32" s="12">
        <v>3.5</v>
      </c>
    </row>
    <row r="33" spans="1:14">
      <c r="A33" s="11">
        <v>0.28599999999999998</v>
      </c>
      <c r="B33" s="12">
        <v>120</v>
      </c>
      <c r="C33" s="12">
        <f t="shared" si="0"/>
        <v>419.58041958041963</v>
      </c>
      <c r="D33" s="13">
        <v>0.75</v>
      </c>
      <c r="E33" s="12">
        <v>7.5</v>
      </c>
      <c r="F33" s="12">
        <v>22.5</v>
      </c>
      <c r="G33" s="12">
        <v>90</v>
      </c>
      <c r="H33" s="12">
        <v>78.900000000000006</v>
      </c>
      <c r="I33" s="12">
        <v>5.8</v>
      </c>
      <c r="J33" s="12">
        <v>54.7</v>
      </c>
      <c r="K33" s="12">
        <v>3.2</v>
      </c>
      <c r="L33" s="12">
        <v>0</v>
      </c>
      <c r="M33" s="12">
        <v>45.3</v>
      </c>
      <c r="N33" s="12">
        <v>3.9</v>
      </c>
    </row>
    <row r="34" spans="1:14">
      <c r="A34" s="11">
        <v>0.214</v>
      </c>
      <c r="B34" s="12">
        <v>90</v>
      </c>
      <c r="C34" s="12">
        <f t="shared" si="0"/>
        <v>420.56074766355141</v>
      </c>
      <c r="D34" s="13">
        <v>0.75</v>
      </c>
      <c r="E34" s="12">
        <v>5.6</v>
      </c>
      <c r="F34" s="12">
        <v>16.899999999999999</v>
      </c>
      <c r="G34" s="12">
        <v>67.5</v>
      </c>
      <c r="H34" s="12">
        <v>82.3</v>
      </c>
      <c r="I34" s="12">
        <v>6.1</v>
      </c>
      <c r="J34" s="12">
        <v>41</v>
      </c>
      <c r="K34" s="12">
        <v>2.5</v>
      </c>
      <c r="L34" s="12">
        <v>0</v>
      </c>
      <c r="M34" s="12">
        <v>59</v>
      </c>
      <c r="N34" s="12">
        <v>4</v>
      </c>
    </row>
    <row r="35" spans="1:14">
      <c r="A35" s="11">
        <v>1</v>
      </c>
      <c r="B35" s="12">
        <v>140</v>
      </c>
      <c r="C35" s="12">
        <f t="shared" si="0"/>
        <v>140</v>
      </c>
      <c r="D35" s="13">
        <v>0.25</v>
      </c>
      <c r="E35" s="12">
        <v>26.3</v>
      </c>
      <c r="F35" s="12">
        <v>78.8</v>
      </c>
      <c r="G35" s="12">
        <v>35</v>
      </c>
      <c r="H35" s="12">
        <v>100</v>
      </c>
      <c r="I35" s="12">
        <v>33.6</v>
      </c>
      <c r="J35" s="12">
        <v>56.1</v>
      </c>
      <c r="K35" s="12">
        <v>18.8</v>
      </c>
      <c r="L35" s="12">
        <v>12</v>
      </c>
      <c r="M35" s="12">
        <v>27.5</v>
      </c>
      <c r="N35" s="12">
        <v>0.6</v>
      </c>
    </row>
    <row r="36" spans="1:14">
      <c r="A36" s="11">
        <v>0.85699999999999998</v>
      </c>
      <c r="B36" s="12">
        <v>120</v>
      </c>
      <c r="C36" s="12">
        <f t="shared" si="0"/>
        <v>140.02333722287048</v>
      </c>
      <c r="D36" s="13">
        <v>0.25</v>
      </c>
      <c r="E36" s="12">
        <v>22.5</v>
      </c>
      <c r="F36" s="12">
        <v>67.5</v>
      </c>
      <c r="G36" s="12">
        <v>30</v>
      </c>
      <c r="H36" s="12">
        <v>100</v>
      </c>
      <c r="I36" s="12">
        <v>31.2</v>
      </c>
      <c r="J36" s="12">
        <v>51</v>
      </c>
      <c r="K36" s="12">
        <v>15.9</v>
      </c>
      <c r="L36" s="12">
        <v>12.9</v>
      </c>
      <c r="M36" s="12">
        <v>32.200000000000003</v>
      </c>
      <c r="N36" s="12">
        <v>0.6</v>
      </c>
    </row>
    <row r="37" spans="1:14">
      <c r="A37" s="11">
        <v>0.71499999999999997</v>
      </c>
      <c r="B37" s="12">
        <v>100</v>
      </c>
      <c r="C37" s="12">
        <f t="shared" si="0"/>
        <v>139.86013986013987</v>
      </c>
      <c r="D37" s="13">
        <v>0.25</v>
      </c>
      <c r="E37" s="12">
        <v>18.8</v>
      </c>
      <c r="F37" s="12">
        <v>56.3</v>
      </c>
      <c r="G37" s="12">
        <v>25</v>
      </c>
      <c r="H37" s="12">
        <v>100</v>
      </c>
      <c r="I37" s="12">
        <v>30.3</v>
      </c>
      <c r="J37" s="12">
        <v>50.7</v>
      </c>
      <c r="K37" s="12">
        <v>15.4</v>
      </c>
      <c r="L37" s="12">
        <v>12</v>
      </c>
      <c r="M37" s="12">
        <v>33.5</v>
      </c>
      <c r="N37" s="12">
        <v>0.7</v>
      </c>
    </row>
    <row r="38" spans="1:14">
      <c r="A38" s="11">
        <v>0.57199999999999995</v>
      </c>
      <c r="B38" s="12">
        <v>80</v>
      </c>
      <c r="C38" s="12">
        <f t="shared" si="0"/>
        <v>139.86013986013987</v>
      </c>
      <c r="D38" s="13">
        <v>0.25</v>
      </c>
      <c r="E38" s="12">
        <v>15</v>
      </c>
      <c r="F38" s="12">
        <v>45</v>
      </c>
      <c r="G38" s="12">
        <v>20</v>
      </c>
      <c r="H38" s="12">
        <v>100</v>
      </c>
      <c r="I38" s="12">
        <v>29.4</v>
      </c>
      <c r="J38" s="12">
        <v>49.8</v>
      </c>
      <c r="K38" s="12">
        <v>14.7</v>
      </c>
      <c r="L38" s="12">
        <v>12</v>
      </c>
      <c r="M38" s="12">
        <v>34.6</v>
      </c>
      <c r="N38" s="12">
        <v>0.7</v>
      </c>
    </row>
    <row r="39" spans="1:14">
      <c r="A39" s="11">
        <v>0.42899999999999999</v>
      </c>
      <c r="B39" s="12">
        <v>60</v>
      </c>
      <c r="C39" s="12">
        <f t="shared" si="0"/>
        <v>139.86013986013987</v>
      </c>
      <c r="D39" s="13">
        <v>0.25</v>
      </c>
      <c r="E39" s="12">
        <v>11.3</v>
      </c>
      <c r="F39" s="12">
        <v>33.799999999999997</v>
      </c>
      <c r="G39" s="12">
        <v>15</v>
      </c>
      <c r="H39" s="12">
        <v>100</v>
      </c>
      <c r="I39" s="12">
        <v>25.7</v>
      </c>
      <c r="J39" s="12">
        <v>43</v>
      </c>
      <c r="K39" s="12">
        <v>11.1</v>
      </c>
      <c r="L39" s="12">
        <v>12.3</v>
      </c>
      <c r="M39" s="12">
        <v>42</v>
      </c>
      <c r="N39" s="12">
        <v>0.9</v>
      </c>
    </row>
    <row r="40" spans="1:14">
      <c r="A40" s="11">
        <v>0.28599999999999998</v>
      </c>
      <c r="B40" s="12">
        <v>40</v>
      </c>
      <c r="C40" s="12">
        <f t="shared" si="0"/>
        <v>139.86013986013987</v>
      </c>
      <c r="D40" s="13">
        <v>0.25</v>
      </c>
      <c r="E40" s="12">
        <v>7.5</v>
      </c>
      <c r="F40" s="12">
        <v>22.5</v>
      </c>
      <c r="G40" s="12">
        <v>10</v>
      </c>
      <c r="H40" s="12">
        <v>100</v>
      </c>
      <c r="I40" s="12">
        <v>25.3</v>
      </c>
      <c r="J40" s="12">
        <v>44.6</v>
      </c>
      <c r="K40" s="12">
        <v>11.3</v>
      </c>
      <c r="L40" s="12">
        <v>13.5</v>
      </c>
      <c r="M40" s="12">
        <v>38.9</v>
      </c>
      <c r="N40" s="12">
        <v>0.7</v>
      </c>
    </row>
    <row r="41" spans="1:14">
      <c r="A41" s="11">
        <v>1.5</v>
      </c>
      <c r="B41" s="12">
        <v>240</v>
      </c>
      <c r="C41" s="12">
        <f t="shared" si="0"/>
        <v>160</v>
      </c>
      <c r="D41" s="13">
        <v>0.25</v>
      </c>
      <c r="E41" s="12">
        <v>45</v>
      </c>
      <c r="F41" s="12">
        <v>135</v>
      </c>
      <c r="G41" s="12">
        <v>60</v>
      </c>
      <c r="H41" s="12">
        <v>100</v>
      </c>
      <c r="I41" s="12">
        <v>32</v>
      </c>
      <c r="J41" s="12">
        <v>41.3</v>
      </c>
      <c r="K41" s="12">
        <v>13.2</v>
      </c>
      <c r="L41" s="12">
        <v>34.6</v>
      </c>
      <c r="M41" s="12">
        <v>21.1</v>
      </c>
      <c r="N41" s="12">
        <v>0.3</v>
      </c>
    </row>
    <row r="42" spans="1:14">
      <c r="A42" s="11">
        <v>1.5</v>
      </c>
      <c r="B42" s="12">
        <v>210</v>
      </c>
      <c r="C42" s="12">
        <f t="shared" si="0"/>
        <v>140</v>
      </c>
      <c r="D42" s="13">
        <v>0.25</v>
      </c>
      <c r="E42" s="12">
        <v>39.4</v>
      </c>
      <c r="F42" s="12">
        <v>118.1</v>
      </c>
      <c r="G42" s="12">
        <v>52.5</v>
      </c>
      <c r="H42" s="12">
        <v>100</v>
      </c>
      <c r="I42" s="12">
        <v>33</v>
      </c>
      <c r="J42" s="12">
        <v>48.3</v>
      </c>
      <c r="K42" s="12">
        <v>15.9</v>
      </c>
      <c r="L42" s="12">
        <v>27.9</v>
      </c>
      <c r="M42" s="12">
        <v>20.2</v>
      </c>
      <c r="N42" s="12">
        <v>0.4</v>
      </c>
    </row>
    <row r="43" spans="1:14">
      <c r="A43" s="11">
        <v>1.5</v>
      </c>
      <c r="B43" s="12">
        <v>180</v>
      </c>
      <c r="C43" s="12">
        <f t="shared" si="0"/>
        <v>120</v>
      </c>
      <c r="D43" s="13">
        <v>0.25</v>
      </c>
      <c r="E43" s="12">
        <v>33.799999999999997</v>
      </c>
      <c r="F43" s="12">
        <v>101.3</v>
      </c>
      <c r="G43" s="12">
        <v>45</v>
      </c>
      <c r="H43" s="12">
        <v>100</v>
      </c>
      <c r="I43" s="12">
        <v>33.6</v>
      </c>
      <c r="J43" s="12">
        <v>52.8</v>
      </c>
      <c r="K43" s="12">
        <v>17.7</v>
      </c>
      <c r="L43" s="12">
        <v>23.2</v>
      </c>
      <c r="M43" s="12">
        <v>20</v>
      </c>
      <c r="N43" s="12">
        <v>0.4</v>
      </c>
    </row>
    <row r="44" spans="1:14">
      <c r="A44" s="11">
        <v>1.5</v>
      </c>
      <c r="B44" s="12">
        <v>150</v>
      </c>
      <c r="C44" s="12">
        <f t="shared" si="0"/>
        <v>100</v>
      </c>
      <c r="D44" s="13">
        <v>0.25</v>
      </c>
      <c r="E44" s="12">
        <v>28.1</v>
      </c>
      <c r="F44" s="12">
        <v>84.4</v>
      </c>
      <c r="G44" s="12">
        <v>37.5</v>
      </c>
      <c r="H44" s="12">
        <v>100</v>
      </c>
      <c r="I44" s="12">
        <v>34.4</v>
      </c>
      <c r="J44" s="12">
        <v>55.8</v>
      </c>
      <c r="K44" s="12">
        <v>19.2</v>
      </c>
      <c r="L44" s="12">
        <v>19.399999999999999</v>
      </c>
      <c r="M44" s="12">
        <v>20.7</v>
      </c>
      <c r="N44" s="12">
        <v>0.4</v>
      </c>
    </row>
    <row r="45" spans="1:14">
      <c r="A45" s="11">
        <v>1.25</v>
      </c>
      <c r="B45" s="12">
        <v>210</v>
      </c>
      <c r="C45" s="12">
        <f t="shared" si="0"/>
        <v>168</v>
      </c>
      <c r="D45" s="13">
        <v>0.25</v>
      </c>
      <c r="E45" s="12">
        <v>39.4</v>
      </c>
      <c r="F45" s="12">
        <v>118.1</v>
      </c>
      <c r="G45" s="12">
        <v>52.5</v>
      </c>
      <c r="H45" s="12">
        <v>100</v>
      </c>
      <c r="I45" s="12">
        <v>32.6</v>
      </c>
      <c r="J45" s="12">
        <v>47.9</v>
      </c>
      <c r="K45" s="12">
        <v>15.6</v>
      </c>
      <c r="L45" s="12">
        <v>28.7</v>
      </c>
      <c r="M45" s="12">
        <v>19.8</v>
      </c>
      <c r="N45" s="12">
        <v>0.4</v>
      </c>
    </row>
    <row r="46" spans="1:14">
      <c r="A46" s="11">
        <v>1.25</v>
      </c>
      <c r="B46" s="12">
        <v>180</v>
      </c>
      <c r="C46" s="12">
        <f t="shared" si="0"/>
        <v>144</v>
      </c>
      <c r="D46" s="13">
        <v>0.25</v>
      </c>
      <c r="E46" s="12">
        <v>33.799999999999997</v>
      </c>
      <c r="F46" s="12">
        <v>101.3</v>
      </c>
      <c r="G46" s="12">
        <v>45</v>
      </c>
      <c r="H46" s="12">
        <v>100</v>
      </c>
      <c r="I46" s="12">
        <v>33.700000000000003</v>
      </c>
      <c r="J46" s="12">
        <v>52.7</v>
      </c>
      <c r="K46" s="12">
        <v>17.7</v>
      </c>
      <c r="L46" s="12">
        <v>23.7</v>
      </c>
      <c r="M46" s="12">
        <v>19.7</v>
      </c>
      <c r="N46" s="12">
        <v>0.4</v>
      </c>
    </row>
    <row r="47" spans="1:14">
      <c r="A47" s="11">
        <v>1.25</v>
      </c>
      <c r="B47" s="12">
        <v>150</v>
      </c>
      <c r="C47" s="12">
        <f t="shared" si="0"/>
        <v>120</v>
      </c>
      <c r="D47" s="13">
        <v>0.25</v>
      </c>
      <c r="E47" s="12">
        <v>28.1</v>
      </c>
      <c r="F47" s="12">
        <v>84.4</v>
      </c>
      <c r="G47" s="12">
        <v>37.5</v>
      </c>
      <c r="H47" s="12">
        <v>100</v>
      </c>
      <c r="I47" s="12">
        <v>34.6</v>
      </c>
      <c r="J47" s="12">
        <v>55.8</v>
      </c>
      <c r="K47" s="12">
        <v>19.3</v>
      </c>
      <c r="L47" s="12">
        <v>19.399999999999999</v>
      </c>
      <c r="M47" s="12">
        <v>20.399999999999999</v>
      </c>
      <c r="N47" s="12">
        <v>0.5</v>
      </c>
    </row>
    <row r="48" spans="1:14">
      <c r="A48" s="11">
        <v>1.25</v>
      </c>
      <c r="B48" s="12">
        <v>120</v>
      </c>
      <c r="C48" s="12">
        <f t="shared" si="0"/>
        <v>96</v>
      </c>
      <c r="D48" s="13">
        <v>0.25</v>
      </c>
      <c r="E48" s="12">
        <v>22.5</v>
      </c>
      <c r="F48" s="12">
        <v>67.5</v>
      </c>
      <c r="G48" s="12">
        <v>30</v>
      </c>
      <c r="H48" s="12">
        <v>100</v>
      </c>
      <c r="I48" s="12">
        <v>35</v>
      </c>
      <c r="J48" s="12">
        <v>58.1</v>
      </c>
      <c r="K48" s="12">
        <v>20.3</v>
      </c>
      <c r="L48" s="12">
        <v>14.8</v>
      </c>
      <c r="M48" s="12">
        <v>22.5</v>
      </c>
      <c r="N48" s="12">
        <v>0.5</v>
      </c>
    </row>
    <row r="49" spans="1:14">
      <c r="A49" s="11">
        <v>1</v>
      </c>
      <c r="B49" s="12">
        <v>180</v>
      </c>
      <c r="C49" s="12">
        <f t="shared" si="0"/>
        <v>180</v>
      </c>
      <c r="D49" s="13">
        <v>0.25</v>
      </c>
      <c r="E49" s="12">
        <v>33.799999999999997</v>
      </c>
      <c r="F49" s="12">
        <v>101.3</v>
      </c>
      <c r="G49" s="12">
        <v>45</v>
      </c>
      <c r="H49" s="12">
        <v>100</v>
      </c>
      <c r="I49" s="12">
        <v>35.1</v>
      </c>
      <c r="J49" s="12">
        <v>57.8</v>
      </c>
      <c r="K49" s="12">
        <v>20.3</v>
      </c>
      <c r="L49" s="12">
        <v>13.7</v>
      </c>
      <c r="M49" s="12">
        <v>24.1</v>
      </c>
      <c r="N49" s="12">
        <v>0.5</v>
      </c>
    </row>
    <row r="50" spans="1:14">
      <c r="A50" s="11">
        <v>1</v>
      </c>
      <c r="B50" s="12">
        <v>150</v>
      </c>
      <c r="C50" s="12">
        <f t="shared" si="0"/>
        <v>150</v>
      </c>
      <c r="D50" s="13">
        <v>0.25</v>
      </c>
      <c r="E50" s="12">
        <v>28.1</v>
      </c>
      <c r="F50" s="12">
        <v>84.4</v>
      </c>
      <c r="G50" s="12">
        <v>37.5</v>
      </c>
      <c r="H50" s="12">
        <v>100</v>
      </c>
      <c r="I50" s="12">
        <v>34.4</v>
      </c>
      <c r="J50" s="12">
        <v>57.1</v>
      </c>
      <c r="K50" s="12">
        <v>19.7</v>
      </c>
      <c r="L50" s="12">
        <v>12.2</v>
      </c>
      <c r="M50" s="12">
        <v>26.2</v>
      </c>
      <c r="N50" s="12">
        <v>0.5</v>
      </c>
    </row>
    <row r="51" spans="1:14">
      <c r="A51" s="11">
        <v>1</v>
      </c>
      <c r="B51" s="12">
        <v>120</v>
      </c>
      <c r="C51" s="12">
        <f t="shared" si="0"/>
        <v>120</v>
      </c>
      <c r="D51" s="13">
        <v>0.25</v>
      </c>
      <c r="E51" s="12">
        <v>22.5</v>
      </c>
      <c r="F51" s="12">
        <v>67.5</v>
      </c>
      <c r="G51" s="12">
        <v>30</v>
      </c>
      <c r="H51" s="12">
        <v>100</v>
      </c>
      <c r="I51" s="12">
        <v>33.1</v>
      </c>
      <c r="J51" s="12">
        <v>55.6</v>
      </c>
      <c r="K51" s="12">
        <v>18.399999999999999</v>
      </c>
      <c r="L51" s="12">
        <v>11.6</v>
      </c>
      <c r="M51" s="12">
        <v>28.3</v>
      </c>
      <c r="N51" s="12">
        <v>0.6</v>
      </c>
    </row>
    <row r="52" spans="1:14">
      <c r="A52" s="11">
        <v>1</v>
      </c>
      <c r="B52" s="12">
        <v>90</v>
      </c>
      <c r="C52" s="12">
        <f t="shared" si="0"/>
        <v>90</v>
      </c>
      <c r="D52" s="13">
        <v>0.25</v>
      </c>
      <c r="E52" s="12">
        <v>16.899999999999999</v>
      </c>
      <c r="F52" s="12">
        <v>50.6</v>
      </c>
      <c r="G52" s="12">
        <v>22.5</v>
      </c>
      <c r="H52" s="12">
        <v>100</v>
      </c>
      <c r="I52" s="12">
        <v>31.7</v>
      </c>
      <c r="J52" s="12">
        <v>54.2</v>
      </c>
      <c r="K52" s="12">
        <v>17.2</v>
      </c>
      <c r="L52" s="12">
        <v>11.3</v>
      </c>
      <c r="M52" s="12">
        <v>30.1</v>
      </c>
      <c r="N52" s="12">
        <v>0.6</v>
      </c>
    </row>
    <row r="53" spans="1:14">
      <c r="A53" s="11">
        <v>0.75</v>
      </c>
      <c r="B53" s="12">
        <v>180</v>
      </c>
      <c r="C53" s="12">
        <f t="shared" si="0"/>
        <v>240</v>
      </c>
      <c r="D53" s="13">
        <v>0.25</v>
      </c>
      <c r="E53" s="12">
        <v>33.799999999999997</v>
      </c>
      <c r="F53" s="12">
        <v>101.3</v>
      </c>
      <c r="G53" s="12">
        <v>45</v>
      </c>
      <c r="H53" s="12">
        <v>94.1</v>
      </c>
      <c r="I53" s="12">
        <v>33.9</v>
      </c>
      <c r="J53" s="12">
        <v>57.6</v>
      </c>
      <c r="K53" s="12">
        <v>19.5</v>
      </c>
      <c r="L53" s="12">
        <v>13</v>
      </c>
      <c r="M53" s="12">
        <v>25.3</v>
      </c>
      <c r="N53" s="12">
        <v>0.6</v>
      </c>
    </row>
    <row r="54" spans="1:14">
      <c r="A54" s="11">
        <v>0.75</v>
      </c>
      <c r="B54" s="12">
        <v>150</v>
      </c>
      <c r="C54" s="12">
        <f t="shared" si="0"/>
        <v>200</v>
      </c>
      <c r="D54" s="13">
        <v>0.25</v>
      </c>
      <c r="E54" s="12">
        <v>28.1</v>
      </c>
      <c r="F54" s="12">
        <v>84.4</v>
      </c>
      <c r="G54" s="12">
        <v>37.5</v>
      </c>
      <c r="H54" s="12">
        <v>89.8</v>
      </c>
      <c r="I54" s="12">
        <v>32.9</v>
      </c>
      <c r="J54" s="12">
        <v>56.8</v>
      </c>
      <c r="K54" s="12">
        <v>18.7</v>
      </c>
      <c r="L54" s="12">
        <v>12.9</v>
      </c>
      <c r="M54" s="12">
        <v>26.2</v>
      </c>
      <c r="N54" s="12">
        <v>0.6</v>
      </c>
    </row>
    <row r="55" spans="1:14">
      <c r="A55" s="11">
        <v>0.75</v>
      </c>
      <c r="B55" s="12">
        <v>120</v>
      </c>
      <c r="C55" s="12">
        <f t="shared" si="0"/>
        <v>160</v>
      </c>
      <c r="D55" s="13">
        <v>0.25</v>
      </c>
      <c r="E55" s="12">
        <v>22.5</v>
      </c>
      <c r="F55" s="12">
        <v>67.5</v>
      </c>
      <c r="G55" s="12">
        <v>30</v>
      </c>
      <c r="H55" s="12">
        <v>94</v>
      </c>
      <c r="I55" s="12">
        <v>32.6</v>
      </c>
      <c r="J55" s="12">
        <v>55.8</v>
      </c>
      <c r="K55" s="12">
        <v>18.2</v>
      </c>
      <c r="L55" s="12">
        <v>12.6</v>
      </c>
      <c r="M55" s="12">
        <v>27.4</v>
      </c>
      <c r="N55" s="12">
        <v>0.6</v>
      </c>
    </row>
    <row r="56" spans="1:14" ht="13.8" thickBot="1">
      <c r="A56" s="10">
        <v>0.75</v>
      </c>
      <c r="B56" s="15">
        <v>90</v>
      </c>
      <c r="C56" s="12">
        <f t="shared" si="0"/>
        <v>120</v>
      </c>
      <c r="D56" s="16">
        <v>0.25</v>
      </c>
      <c r="E56" s="15">
        <v>16.899999999999999</v>
      </c>
      <c r="F56" s="15">
        <v>50.6</v>
      </c>
      <c r="G56" s="15">
        <v>22.5</v>
      </c>
      <c r="H56" s="15">
        <v>100</v>
      </c>
      <c r="I56" s="15">
        <v>31.9</v>
      </c>
      <c r="J56" s="15">
        <v>55.1</v>
      </c>
      <c r="K56" s="15">
        <v>17.600000000000001</v>
      </c>
      <c r="L56" s="15">
        <v>12.1</v>
      </c>
      <c r="M56" s="15">
        <v>28.6</v>
      </c>
      <c r="N56" s="15">
        <v>0.6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F10D-5DCA-4E79-87DD-992438D96052}">
  <dimension ref="A1:N35"/>
  <sheetViews>
    <sheetView workbookViewId="0">
      <selection activeCell="G20" sqref="G20"/>
    </sheetView>
  </sheetViews>
  <sheetFormatPr defaultRowHeight="13.2"/>
  <sheetData>
    <row r="1" spans="1:14" ht="31.2" thickBo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61</v>
      </c>
      <c r="N1" s="20"/>
    </row>
    <row r="2" spans="1:14">
      <c r="A2" s="18">
        <v>800</v>
      </c>
      <c r="B2" s="18">
        <v>150</v>
      </c>
      <c r="C2" s="18">
        <v>4</v>
      </c>
      <c r="D2" s="18">
        <v>26.9</v>
      </c>
      <c r="E2" s="18">
        <v>107.5</v>
      </c>
      <c r="F2" s="18">
        <v>45</v>
      </c>
      <c r="G2" s="18">
        <v>30.3</v>
      </c>
      <c r="H2" s="18">
        <v>66.3</v>
      </c>
      <c r="I2" s="18">
        <v>20.100000000000001</v>
      </c>
      <c r="J2" s="18">
        <v>10.9</v>
      </c>
      <c r="K2" s="18">
        <v>17.3</v>
      </c>
      <c r="L2" s="18">
        <v>1.9</v>
      </c>
      <c r="M2" s="18">
        <v>0.52</v>
      </c>
    </row>
    <row r="3" spans="1:14">
      <c r="A3" s="18">
        <v>800</v>
      </c>
      <c r="B3" s="18">
        <v>150</v>
      </c>
      <c r="C3" s="18">
        <v>3.5</v>
      </c>
      <c r="D3" s="18">
        <v>29.8</v>
      </c>
      <c r="E3" s="18">
        <v>104.3</v>
      </c>
      <c r="F3" s="18">
        <v>45</v>
      </c>
      <c r="G3" s="18">
        <v>32</v>
      </c>
      <c r="H3" s="18">
        <v>61.3</v>
      </c>
      <c r="I3" s="18">
        <v>19.600000000000001</v>
      </c>
      <c r="J3" s="18">
        <v>15</v>
      </c>
      <c r="K3" s="18">
        <v>18.600000000000001</v>
      </c>
      <c r="L3" s="18">
        <v>2.2000000000000002</v>
      </c>
      <c r="M3" s="18">
        <v>0.46</v>
      </c>
    </row>
    <row r="4" spans="1:14">
      <c r="A4" s="18">
        <v>800</v>
      </c>
      <c r="B4" s="18">
        <v>150</v>
      </c>
      <c r="C4" s="18">
        <v>3</v>
      </c>
      <c r="D4" s="18">
        <v>33.799999999999997</v>
      </c>
      <c r="E4" s="18">
        <v>101.3</v>
      </c>
      <c r="F4" s="18">
        <v>45</v>
      </c>
      <c r="G4" s="18">
        <v>35.1</v>
      </c>
      <c r="H4" s="18">
        <v>57.4</v>
      </c>
      <c r="I4" s="18">
        <v>20.100000000000001</v>
      </c>
      <c r="J4" s="18">
        <v>19.600000000000001</v>
      </c>
      <c r="K4" s="18">
        <v>18.3</v>
      </c>
      <c r="L4" s="18">
        <v>2.6</v>
      </c>
      <c r="M4" s="18">
        <v>0.39</v>
      </c>
    </row>
    <row r="5" spans="1:14">
      <c r="A5" s="18">
        <v>800</v>
      </c>
      <c r="B5" s="18">
        <v>150</v>
      </c>
      <c r="C5" s="18">
        <v>2.75</v>
      </c>
      <c r="D5" s="18">
        <v>35.799999999999997</v>
      </c>
      <c r="E5" s="18">
        <v>98.5</v>
      </c>
      <c r="F5" s="18">
        <v>45</v>
      </c>
      <c r="G5" s="18">
        <v>37.200000000000003</v>
      </c>
      <c r="H5" s="18">
        <v>54.9</v>
      </c>
      <c r="I5" s="18">
        <v>20.399999999999999</v>
      </c>
      <c r="J5" s="18">
        <v>21.9</v>
      </c>
      <c r="K5" s="18">
        <v>18.600000000000001</v>
      </c>
      <c r="L5" s="18">
        <v>2.8</v>
      </c>
      <c r="M5" s="18">
        <v>0.35</v>
      </c>
    </row>
    <row r="6" spans="1:14">
      <c r="A6" s="18">
        <v>800</v>
      </c>
      <c r="B6" s="18">
        <v>150</v>
      </c>
      <c r="C6" s="18">
        <v>2.5</v>
      </c>
      <c r="D6" s="18">
        <v>38.4</v>
      </c>
      <c r="E6" s="18">
        <v>96</v>
      </c>
      <c r="F6" s="18">
        <v>45</v>
      </c>
      <c r="G6" s="18">
        <v>39.299999999999997</v>
      </c>
      <c r="H6" s="18">
        <v>52</v>
      </c>
      <c r="I6" s="18">
        <v>20.399999999999999</v>
      </c>
      <c r="J6" s="18">
        <v>24.9</v>
      </c>
      <c r="K6" s="18">
        <v>18.7</v>
      </c>
      <c r="L6" s="18">
        <v>3.1</v>
      </c>
      <c r="M6" s="18">
        <v>0.32</v>
      </c>
    </row>
    <row r="7" spans="1:14">
      <c r="A7" s="18">
        <v>800</v>
      </c>
      <c r="B7" s="18">
        <v>150</v>
      </c>
      <c r="C7" s="18">
        <v>2.25</v>
      </c>
      <c r="D7" s="18">
        <v>41.3</v>
      </c>
      <c r="E7" s="18">
        <v>93</v>
      </c>
      <c r="F7" s="18">
        <v>45</v>
      </c>
      <c r="G7" s="18">
        <v>44.8</v>
      </c>
      <c r="H7" s="18">
        <v>43.8</v>
      </c>
      <c r="I7" s="18">
        <v>19.600000000000001</v>
      </c>
      <c r="J7" s="18">
        <v>32.799999999999997</v>
      </c>
      <c r="K7" s="18">
        <v>19.7</v>
      </c>
      <c r="L7" s="18">
        <v>3.7</v>
      </c>
      <c r="M7" s="18">
        <v>0.27</v>
      </c>
    </row>
    <row r="8" spans="1:14">
      <c r="A8" s="18">
        <v>800</v>
      </c>
      <c r="B8" s="18">
        <v>150</v>
      </c>
      <c r="C8" s="18">
        <v>2</v>
      </c>
      <c r="D8" s="18">
        <v>44.8</v>
      </c>
      <c r="E8" s="18">
        <v>89.6</v>
      </c>
      <c r="F8" s="18">
        <v>45</v>
      </c>
      <c r="G8" s="18"/>
      <c r="H8" s="18"/>
      <c r="I8" s="18"/>
      <c r="J8" s="18"/>
      <c r="K8" s="18"/>
      <c r="L8" s="18"/>
      <c r="M8" s="18"/>
    </row>
    <row r="9" spans="1:14">
      <c r="A9" s="18">
        <v>800</v>
      </c>
      <c r="B9" s="18">
        <v>180</v>
      </c>
      <c r="C9" s="18">
        <v>4</v>
      </c>
      <c r="D9" s="18">
        <v>26.9</v>
      </c>
      <c r="E9" s="18">
        <v>107.5</v>
      </c>
      <c r="F9" s="18">
        <v>45</v>
      </c>
      <c r="G9" s="18">
        <v>28.7</v>
      </c>
      <c r="H9" s="18">
        <v>61.3</v>
      </c>
      <c r="I9" s="18">
        <v>17.600000000000001</v>
      </c>
      <c r="J9" s="18">
        <v>18.899999999999999</v>
      </c>
      <c r="K9" s="18">
        <v>15.2</v>
      </c>
      <c r="L9" s="18">
        <v>2.1</v>
      </c>
      <c r="M9" s="18">
        <v>0.48</v>
      </c>
    </row>
    <row r="10" spans="1:14">
      <c r="A10" s="18">
        <v>800</v>
      </c>
      <c r="B10" s="18">
        <v>180</v>
      </c>
      <c r="C10" s="18">
        <v>3.5</v>
      </c>
      <c r="D10" s="18">
        <v>29.8</v>
      </c>
      <c r="E10" s="18">
        <v>104.3</v>
      </c>
      <c r="F10" s="18">
        <v>45</v>
      </c>
      <c r="G10" s="18">
        <v>30.9</v>
      </c>
      <c r="H10" s="18">
        <v>56.8</v>
      </c>
      <c r="I10" s="18">
        <v>17.600000000000001</v>
      </c>
      <c r="J10" s="18">
        <v>22.6</v>
      </c>
      <c r="K10" s="18">
        <v>16</v>
      </c>
      <c r="L10" s="18">
        <v>2.4</v>
      </c>
      <c r="M10" s="18">
        <v>0.41</v>
      </c>
    </row>
    <row r="11" spans="1:14">
      <c r="A11" s="18">
        <v>800</v>
      </c>
      <c r="B11" s="18">
        <v>180</v>
      </c>
      <c r="C11" s="18">
        <v>3</v>
      </c>
      <c r="D11" s="18">
        <v>33.799999999999997</v>
      </c>
      <c r="E11" s="18">
        <v>101.3</v>
      </c>
      <c r="F11" s="18">
        <v>45</v>
      </c>
      <c r="G11" s="18">
        <v>33.200000000000003</v>
      </c>
      <c r="H11" s="18">
        <v>49.2</v>
      </c>
      <c r="I11" s="18">
        <v>16.3</v>
      </c>
      <c r="J11" s="18">
        <v>28.7</v>
      </c>
      <c r="K11" s="18">
        <v>17.899999999999999</v>
      </c>
      <c r="L11" s="18">
        <v>3.2</v>
      </c>
      <c r="M11" s="18">
        <v>0.31</v>
      </c>
    </row>
    <row r="12" spans="1:14">
      <c r="A12" s="18">
        <v>800</v>
      </c>
      <c r="B12" s="18">
        <v>180</v>
      </c>
      <c r="C12" s="18">
        <v>2.75</v>
      </c>
      <c r="D12" s="18">
        <v>35.799999999999997</v>
      </c>
      <c r="E12" s="18">
        <v>98.5</v>
      </c>
      <c r="F12" s="18">
        <v>45</v>
      </c>
      <c r="G12" s="18">
        <v>35</v>
      </c>
      <c r="H12" s="18">
        <v>47.3</v>
      </c>
      <c r="I12" s="18">
        <v>16.600000000000001</v>
      </c>
      <c r="J12" s="18">
        <v>29.9</v>
      </c>
      <c r="K12" s="18">
        <v>18.600000000000001</v>
      </c>
      <c r="L12" s="18">
        <v>3.5</v>
      </c>
      <c r="M12" s="18">
        <v>0.28000000000000003</v>
      </c>
    </row>
    <row r="13" spans="1:14">
      <c r="A13" s="18">
        <v>800</v>
      </c>
      <c r="B13" s="18">
        <v>180</v>
      </c>
      <c r="C13" s="18">
        <v>2.5</v>
      </c>
      <c r="D13" s="18">
        <v>38.4</v>
      </c>
      <c r="E13" s="18">
        <v>96</v>
      </c>
      <c r="F13" s="18">
        <v>45</v>
      </c>
      <c r="G13" s="18">
        <v>37</v>
      </c>
      <c r="H13" s="18">
        <v>43.5</v>
      </c>
      <c r="I13" s="18">
        <v>16.100000000000001</v>
      </c>
      <c r="J13" s="18">
        <v>32.799999999999997</v>
      </c>
      <c r="K13" s="18">
        <v>19.899999999999999</v>
      </c>
      <c r="L13" s="18">
        <v>4.0999999999999996</v>
      </c>
      <c r="M13" s="18">
        <v>0.24</v>
      </c>
    </row>
    <row r="14" spans="1:14">
      <c r="A14" s="18">
        <v>800</v>
      </c>
      <c r="B14" s="18">
        <v>180</v>
      </c>
      <c r="C14" s="18">
        <v>2.25</v>
      </c>
      <c r="D14" s="18">
        <v>41.3</v>
      </c>
      <c r="E14" s="18">
        <v>93</v>
      </c>
      <c r="F14" s="18">
        <v>45</v>
      </c>
      <c r="G14" s="18">
        <v>39.4</v>
      </c>
      <c r="H14" s="18">
        <v>39.200000000000003</v>
      </c>
      <c r="I14" s="18">
        <v>15.5</v>
      </c>
      <c r="J14" s="18">
        <v>36</v>
      </c>
      <c r="K14" s="18">
        <v>21</v>
      </c>
      <c r="L14" s="18">
        <v>4.7</v>
      </c>
      <c r="M14" s="18">
        <v>0.21</v>
      </c>
    </row>
    <row r="15" spans="1:14">
      <c r="A15" s="18">
        <v>800</v>
      </c>
      <c r="B15" s="18">
        <v>180</v>
      </c>
      <c r="C15" s="18">
        <v>2</v>
      </c>
      <c r="D15" s="18">
        <v>44.8</v>
      </c>
      <c r="E15" s="18">
        <v>89.6</v>
      </c>
      <c r="F15" s="18">
        <v>45</v>
      </c>
      <c r="G15" s="18">
        <v>41.8</v>
      </c>
      <c r="H15" s="18">
        <v>31.9</v>
      </c>
      <c r="I15" s="18">
        <v>13.4</v>
      </c>
      <c r="J15" s="18">
        <v>41.9</v>
      </c>
      <c r="K15" s="18">
        <v>23.1</v>
      </c>
      <c r="L15" s="18">
        <v>6.2</v>
      </c>
      <c r="M15" s="18">
        <v>0.16</v>
      </c>
    </row>
    <row r="16" spans="1:14">
      <c r="A16" s="18">
        <v>820</v>
      </c>
      <c r="B16" s="18">
        <v>180</v>
      </c>
      <c r="C16" s="18">
        <v>4</v>
      </c>
      <c r="D16" s="18">
        <v>26.9</v>
      </c>
      <c r="E16" s="18">
        <v>107.5</v>
      </c>
      <c r="F16" s="18">
        <v>45</v>
      </c>
      <c r="G16" s="18">
        <v>28.6</v>
      </c>
      <c r="H16" s="18">
        <v>61.4</v>
      </c>
      <c r="I16" s="18">
        <v>17.5</v>
      </c>
      <c r="J16" s="18">
        <v>17.399999999999999</v>
      </c>
      <c r="K16" s="18">
        <v>16.399999999999999</v>
      </c>
      <c r="L16" s="18">
        <v>2.2999999999999998</v>
      </c>
      <c r="M16" s="18">
        <v>0.44</v>
      </c>
    </row>
    <row r="17" spans="1:13">
      <c r="A17" s="18">
        <v>820</v>
      </c>
      <c r="B17" s="18">
        <v>180</v>
      </c>
      <c r="C17" s="18">
        <v>3.5</v>
      </c>
      <c r="D17" s="18">
        <v>29.8</v>
      </c>
      <c r="E17" s="18">
        <v>104.3</v>
      </c>
      <c r="F17" s="18">
        <v>45</v>
      </c>
      <c r="G17" s="18">
        <v>31.1</v>
      </c>
      <c r="H17" s="18">
        <v>57.2</v>
      </c>
      <c r="I17" s="18">
        <v>17.8</v>
      </c>
      <c r="J17" s="18">
        <v>21.2</v>
      </c>
      <c r="K17" s="18">
        <v>16.8</v>
      </c>
      <c r="L17" s="18">
        <v>2.7</v>
      </c>
      <c r="M17" s="18">
        <v>0.37</v>
      </c>
    </row>
    <row r="18" spans="1:13">
      <c r="A18" s="18">
        <v>820</v>
      </c>
      <c r="B18" s="18">
        <v>180</v>
      </c>
      <c r="C18" s="18">
        <v>3</v>
      </c>
      <c r="D18" s="18">
        <v>33.799999999999997</v>
      </c>
      <c r="E18" s="18">
        <v>101.3</v>
      </c>
      <c r="F18" s="18">
        <v>45</v>
      </c>
      <c r="G18" s="18">
        <v>34</v>
      </c>
      <c r="H18" s="18">
        <v>52.3</v>
      </c>
      <c r="I18" s="18">
        <v>17.8</v>
      </c>
      <c r="J18" s="18">
        <v>25.3</v>
      </c>
      <c r="K18" s="18">
        <v>17.399999999999999</v>
      </c>
      <c r="L18" s="18">
        <v>3.3</v>
      </c>
      <c r="M18" s="18">
        <v>0.31</v>
      </c>
    </row>
    <row r="19" spans="1:13">
      <c r="A19" s="18">
        <v>820</v>
      </c>
      <c r="B19" s="18">
        <v>180</v>
      </c>
      <c r="C19" s="18">
        <v>2.75</v>
      </c>
      <c r="D19" s="18">
        <v>35.799999999999997</v>
      </c>
      <c r="E19" s="18">
        <v>98.5</v>
      </c>
      <c r="F19" s="18">
        <v>45</v>
      </c>
      <c r="G19" s="18">
        <v>36</v>
      </c>
      <c r="H19" s="18">
        <v>50.2</v>
      </c>
      <c r="I19" s="18">
        <v>18.100000000000001</v>
      </c>
      <c r="J19" s="18">
        <v>27.4</v>
      </c>
      <c r="K19" s="18">
        <v>17.600000000000001</v>
      </c>
      <c r="L19" s="18">
        <v>3.5</v>
      </c>
      <c r="M19" s="18">
        <v>0.28000000000000003</v>
      </c>
    </row>
    <row r="20" spans="1:13">
      <c r="A20" s="18">
        <v>820</v>
      </c>
      <c r="B20" s="18">
        <v>180</v>
      </c>
      <c r="C20" s="18">
        <v>2.5</v>
      </c>
      <c r="D20" s="18">
        <v>38.4</v>
      </c>
      <c r="E20" s="18">
        <v>96</v>
      </c>
      <c r="F20" s="18">
        <v>45</v>
      </c>
      <c r="G20" s="18">
        <v>38</v>
      </c>
      <c r="H20" s="18">
        <v>46.7</v>
      </c>
      <c r="I20" s="18">
        <v>17.7</v>
      </c>
      <c r="J20" s="18">
        <v>30.7</v>
      </c>
      <c r="K20" s="18">
        <v>18</v>
      </c>
      <c r="L20" s="18">
        <v>3.8</v>
      </c>
      <c r="M20" s="18">
        <v>0.26</v>
      </c>
    </row>
    <row r="21" spans="1:13">
      <c r="A21" s="18">
        <v>820</v>
      </c>
      <c r="B21" s="18">
        <v>180</v>
      </c>
      <c r="C21" s="18">
        <v>2.25</v>
      </c>
      <c r="D21" s="18">
        <v>41.3</v>
      </c>
      <c r="E21" s="18">
        <v>93</v>
      </c>
      <c r="F21" s="18">
        <v>45</v>
      </c>
      <c r="G21" s="18">
        <v>40.4</v>
      </c>
      <c r="H21" s="18">
        <v>42.2</v>
      </c>
      <c r="I21" s="18">
        <v>17</v>
      </c>
      <c r="J21" s="18">
        <v>34.700000000000003</v>
      </c>
      <c r="K21" s="18">
        <v>18.899999999999999</v>
      </c>
      <c r="L21" s="18">
        <v>4.3</v>
      </c>
      <c r="M21" s="18">
        <v>0.23</v>
      </c>
    </row>
    <row r="22" spans="1:13">
      <c r="A22" s="18">
        <v>820</v>
      </c>
      <c r="B22" s="18">
        <v>180</v>
      </c>
      <c r="C22" s="18">
        <v>2</v>
      </c>
      <c r="D22" s="18">
        <v>44.8</v>
      </c>
      <c r="E22" s="18">
        <v>89.6</v>
      </c>
      <c r="F22" s="18">
        <v>45</v>
      </c>
      <c r="G22" s="18">
        <v>42.5</v>
      </c>
      <c r="H22" s="18">
        <v>35.6</v>
      </c>
      <c r="I22" s="18">
        <v>15.1</v>
      </c>
      <c r="J22" s="18">
        <v>40</v>
      </c>
      <c r="K22" s="18">
        <v>20.8</v>
      </c>
      <c r="L22" s="18">
        <v>5.4</v>
      </c>
      <c r="M22" s="18">
        <v>0.19</v>
      </c>
    </row>
    <row r="23" spans="1:13">
      <c r="A23" s="18">
        <v>780</v>
      </c>
      <c r="B23" s="18">
        <v>180</v>
      </c>
      <c r="C23" s="18">
        <v>4</v>
      </c>
      <c r="D23" s="18">
        <v>26.9</v>
      </c>
      <c r="E23" s="18">
        <v>107.5</v>
      </c>
      <c r="F23" s="18">
        <v>45</v>
      </c>
      <c r="G23" s="18">
        <v>29.3</v>
      </c>
      <c r="H23" s="18">
        <v>63.5</v>
      </c>
      <c r="I23" s="18">
        <v>18.600000000000001</v>
      </c>
      <c r="J23" s="18">
        <v>14.1</v>
      </c>
      <c r="K23" s="18">
        <v>17.3</v>
      </c>
      <c r="L23" s="18">
        <v>1.9</v>
      </c>
      <c r="M23" s="18">
        <v>0.52</v>
      </c>
    </row>
    <row r="24" spans="1:13">
      <c r="A24" s="18">
        <v>780</v>
      </c>
      <c r="B24" s="18">
        <v>180</v>
      </c>
      <c r="C24" s="18">
        <v>3.5</v>
      </c>
      <c r="D24" s="18">
        <v>29.8</v>
      </c>
      <c r="E24" s="18">
        <v>104.3</v>
      </c>
      <c r="F24" s="18">
        <v>45</v>
      </c>
      <c r="G24" s="18">
        <v>31.3</v>
      </c>
      <c r="H24" s="18">
        <v>59.1</v>
      </c>
      <c r="I24" s="18">
        <v>18.5</v>
      </c>
      <c r="J24" s="18">
        <v>18.899999999999999</v>
      </c>
      <c r="K24" s="18">
        <v>17.5</v>
      </c>
      <c r="L24" s="18">
        <v>2.2999999999999998</v>
      </c>
      <c r="M24" s="18">
        <v>0.43</v>
      </c>
    </row>
    <row r="25" spans="1:13">
      <c r="A25" s="18">
        <v>780</v>
      </c>
      <c r="B25" s="18">
        <v>180</v>
      </c>
      <c r="C25" s="18">
        <v>3</v>
      </c>
      <c r="D25" s="18">
        <v>33.799999999999997</v>
      </c>
      <c r="E25" s="18">
        <v>101.3</v>
      </c>
      <c r="F25" s="18">
        <v>45</v>
      </c>
      <c r="G25" s="18">
        <v>34.1</v>
      </c>
      <c r="H25" s="18">
        <v>53.7</v>
      </c>
      <c r="I25" s="18">
        <v>18.3</v>
      </c>
      <c r="J25" s="18">
        <v>23.6</v>
      </c>
      <c r="K25" s="18">
        <v>18.100000000000001</v>
      </c>
      <c r="L25" s="18">
        <v>2.8</v>
      </c>
      <c r="M25" s="18">
        <v>0.35</v>
      </c>
    </row>
    <row r="26" spans="1:13">
      <c r="A26" s="18">
        <v>780</v>
      </c>
      <c r="B26" s="18">
        <v>180</v>
      </c>
      <c r="C26" s="18">
        <v>2.75</v>
      </c>
      <c r="D26" s="18">
        <v>35.799999999999997</v>
      </c>
      <c r="E26" s="18">
        <v>98.5</v>
      </c>
      <c r="F26" s="18">
        <v>45</v>
      </c>
      <c r="G26" s="18">
        <v>36</v>
      </c>
      <c r="H26" s="18">
        <v>51.1</v>
      </c>
      <c r="I26" s="18">
        <v>18.399999999999999</v>
      </c>
      <c r="J26" s="18">
        <v>25.7</v>
      </c>
      <c r="K26" s="18">
        <v>18.600000000000001</v>
      </c>
      <c r="L26" s="18">
        <v>3.1</v>
      </c>
      <c r="M26" s="18">
        <v>0.32</v>
      </c>
    </row>
    <row r="27" spans="1:13">
      <c r="A27" s="18">
        <v>780</v>
      </c>
      <c r="B27" s="18">
        <v>180</v>
      </c>
      <c r="C27" s="18">
        <v>2.5</v>
      </c>
      <c r="D27" s="18">
        <v>38.4</v>
      </c>
      <c r="E27" s="18">
        <v>96</v>
      </c>
      <c r="F27" s="18">
        <v>45</v>
      </c>
      <c r="G27" s="18">
        <v>38.1</v>
      </c>
      <c r="H27" s="18">
        <v>48.5</v>
      </c>
      <c r="I27" s="18">
        <v>18.5</v>
      </c>
      <c r="J27" s="18">
        <v>28.4</v>
      </c>
      <c r="K27" s="18">
        <v>18.600000000000001</v>
      </c>
      <c r="L27" s="18">
        <v>3.4</v>
      </c>
      <c r="M27" s="18">
        <v>0.28999999999999998</v>
      </c>
    </row>
    <row r="28" spans="1:13">
      <c r="A28" s="18">
        <v>780</v>
      </c>
      <c r="B28" s="18">
        <v>180</v>
      </c>
      <c r="C28" s="18">
        <v>2.25</v>
      </c>
      <c r="D28" s="18">
        <v>41.3</v>
      </c>
      <c r="E28" s="18">
        <v>93</v>
      </c>
      <c r="F28" s="18">
        <v>45</v>
      </c>
      <c r="G28" s="18">
        <v>40.700000000000003</v>
      </c>
      <c r="H28" s="18">
        <v>44.5</v>
      </c>
      <c r="I28" s="18">
        <v>18.100000000000001</v>
      </c>
      <c r="J28" s="18">
        <v>32.200000000000003</v>
      </c>
      <c r="K28" s="18">
        <v>19.100000000000001</v>
      </c>
      <c r="L28" s="18">
        <v>3.7</v>
      </c>
      <c r="M28" s="18">
        <v>0.27</v>
      </c>
    </row>
    <row r="29" spans="1:13">
      <c r="A29" s="18">
        <v>780</v>
      </c>
      <c r="B29" s="18">
        <v>180</v>
      </c>
      <c r="C29" s="18">
        <v>2</v>
      </c>
      <c r="D29" s="18">
        <v>44.8</v>
      </c>
      <c r="E29" s="18">
        <v>89.6</v>
      </c>
      <c r="F29" s="18">
        <v>45</v>
      </c>
      <c r="G29" s="18">
        <v>43.8</v>
      </c>
      <c r="H29" s="18">
        <v>40.5</v>
      </c>
      <c r="I29" s="18">
        <v>17.8</v>
      </c>
      <c r="J29" s="18">
        <v>36</v>
      </c>
      <c r="K29" s="18">
        <v>19.600000000000001</v>
      </c>
      <c r="L29" s="18">
        <v>4</v>
      </c>
      <c r="M29" s="18">
        <v>0.25</v>
      </c>
    </row>
    <row r="30" spans="1:13">
      <c r="A30" s="18">
        <v>800</v>
      </c>
      <c r="B30" s="18">
        <v>210</v>
      </c>
      <c r="C30" s="18">
        <v>4</v>
      </c>
      <c r="D30" s="18">
        <v>26.9</v>
      </c>
      <c r="E30" s="18">
        <v>107.5</v>
      </c>
      <c r="F30" s="18">
        <v>45</v>
      </c>
      <c r="G30" s="18">
        <v>28.4</v>
      </c>
      <c r="H30" s="18">
        <v>60.4</v>
      </c>
      <c r="I30" s="18">
        <v>17.2</v>
      </c>
      <c r="J30" s="18">
        <v>18.399999999999999</v>
      </c>
      <c r="K30" s="18">
        <v>16.399999999999999</v>
      </c>
      <c r="L30" s="18">
        <v>2.2999999999999998</v>
      </c>
      <c r="M30" s="18">
        <v>0.43</v>
      </c>
    </row>
    <row r="31" spans="1:13">
      <c r="A31" s="18">
        <v>800</v>
      </c>
      <c r="B31" s="18">
        <v>210</v>
      </c>
      <c r="C31" s="18">
        <v>3.5</v>
      </c>
      <c r="D31" s="18">
        <v>29.8</v>
      </c>
      <c r="E31" s="18">
        <v>104.3</v>
      </c>
      <c r="F31" s="18">
        <v>45</v>
      </c>
      <c r="G31" s="18">
        <v>30.6</v>
      </c>
      <c r="H31" s="18">
        <v>56.3</v>
      </c>
      <c r="I31" s="18">
        <v>17.2</v>
      </c>
      <c r="J31" s="18">
        <v>21.9</v>
      </c>
      <c r="K31" s="18">
        <v>17</v>
      </c>
      <c r="L31" s="18">
        <v>2.8</v>
      </c>
      <c r="M31" s="18">
        <v>0.35</v>
      </c>
    </row>
    <row r="32" spans="1:13">
      <c r="A32" s="18">
        <v>800</v>
      </c>
      <c r="B32" s="18">
        <v>210</v>
      </c>
      <c r="C32" s="18">
        <v>3</v>
      </c>
      <c r="D32" s="18">
        <v>33.799999999999997</v>
      </c>
      <c r="E32" s="18">
        <v>101.3</v>
      </c>
      <c r="F32" s="18">
        <v>45</v>
      </c>
      <c r="G32" s="18">
        <v>33.6</v>
      </c>
      <c r="H32" s="18">
        <v>51.5</v>
      </c>
      <c r="I32" s="18">
        <v>17.3</v>
      </c>
      <c r="J32" s="18">
        <v>26</v>
      </c>
      <c r="K32" s="18">
        <v>17.5</v>
      </c>
      <c r="L32" s="18">
        <v>3.4</v>
      </c>
      <c r="M32" s="18">
        <v>0.28999999999999998</v>
      </c>
    </row>
    <row r="33" spans="1:13">
      <c r="A33" s="18">
        <v>800</v>
      </c>
      <c r="B33" s="18">
        <v>210</v>
      </c>
      <c r="C33" s="18">
        <v>2.75</v>
      </c>
      <c r="D33" s="18">
        <v>35.799999999999997</v>
      </c>
      <c r="E33" s="18">
        <v>98.5</v>
      </c>
      <c r="F33" s="18">
        <v>45</v>
      </c>
      <c r="G33" s="18">
        <v>35.700000000000003</v>
      </c>
      <c r="H33" s="18">
        <v>49.4</v>
      </c>
      <c r="I33" s="18">
        <v>17.7</v>
      </c>
      <c r="J33" s="18">
        <v>28.4</v>
      </c>
      <c r="K33" s="18">
        <v>17.3</v>
      </c>
      <c r="L33" s="18">
        <v>3.6</v>
      </c>
      <c r="M33" s="18">
        <v>0.27</v>
      </c>
    </row>
    <row r="34" spans="1:13" ht="13.8" thickBot="1">
      <c r="A34" s="21">
        <v>800</v>
      </c>
      <c r="B34" s="21">
        <v>210</v>
      </c>
      <c r="C34" s="21">
        <v>2.5</v>
      </c>
      <c r="D34" s="21">
        <v>38.4</v>
      </c>
      <c r="E34" s="21">
        <v>96</v>
      </c>
      <c r="F34" s="21">
        <v>45</v>
      </c>
      <c r="G34" s="21">
        <v>37.799999999999997</v>
      </c>
      <c r="H34" s="21">
        <v>46.2</v>
      </c>
      <c r="I34" s="21">
        <v>17.5</v>
      </c>
      <c r="J34" s="21">
        <v>31.7</v>
      </c>
      <c r="K34" s="21">
        <v>17.399999999999999</v>
      </c>
      <c r="L34" s="21">
        <v>3.8</v>
      </c>
      <c r="M34" s="21">
        <v>0.27</v>
      </c>
    </row>
    <row r="35" spans="1:13">
      <c r="A35" s="1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0A22-8A60-4957-9910-0738315BBC82}">
  <dimension ref="A1"/>
  <sheetViews>
    <sheetView zoomScale="87" zoomScaleNormal="145" workbookViewId="0"/>
  </sheetViews>
  <sheetFormatPr defaultRowHeight="13.2"/>
  <cols>
    <col min="1" max="1" width="12.33203125" bestFit="1" customWidth="1"/>
    <col min="2" max="2" width="6" bestFit="1" customWidth="1"/>
    <col min="3" max="3" width="4" bestFit="1" customWidth="1"/>
    <col min="5" max="5" width="2" bestFit="1" customWidth="1"/>
    <col min="6" max="6" width="7.44140625" bestFit="1" customWidth="1"/>
    <col min="7" max="7" width="4" bestFit="1" customWidth="1"/>
    <col min="15" max="16" width="3" bestFit="1" customWidth="1"/>
    <col min="17" max="17" width="5.33203125" bestFit="1" customWidth="1"/>
  </cols>
  <sheetData>
    <row r="1" spans="1:1">
      <c r="A1" s="2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Sarda</cp:lastModifiedBy>
  <dcterms:modified xsi:type="dcterms:W3CDTF">2024-08-27T18:48:54Z</dcterms:modified>
</cp:coreProperties>
</file>